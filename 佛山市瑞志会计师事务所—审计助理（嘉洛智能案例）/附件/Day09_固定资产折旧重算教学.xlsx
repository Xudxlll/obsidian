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36c2d661e648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重算总览" sheetId="1" r:id="R46e62c5639d746ea"/>
    <x:sheet xmlns:r="http://schemas.openxmlformats.org/officeDocument/2006/relationships" name="固定资产重算" sheetId="2" r:id="Rd73ba64076d24a5c"/>
    <x:sheet xmlns:r="http://schemas.openxmlformats.org/officeDocument/2006/relationships" name="政策与口径" sheetId="3" r:id="Rde0265fb6ae04602"/>
    <x:sheet xmlns:r="http://schemas.openxmlformats.org/officeDocument/2006/relationships" name="资产台账" sheetId="4" r:id="R2c63fcead391473c"/>
    <x:sheet xmlns:r="http://schemas.openxmlformats.org/officeDocument/2006/relationships" name="月数边界测试" sheetId="5" r:id="Rd2f29e7be7fa4289"/>
    <x:sheet xmlns:r="http://schemas.openxmlformats.org/officeDocument/2006/relationships" name="无形与待摊" sheetId="6" r:id="Ra5a1755589b24a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yyyy-mm-dd"/>
    <x:numFmt numFmtId="201" formatCode="0.00"/>
    <x:numFmt numFmtId="202" formatCode="@"/>
    <x:numFmt numFmtId="203" formatCode="0.0%"/>
    <x:numFmt numFmtId="204" formatCode="#,##0.00;(#,##0.00);&quot;—&quot;"/>
    <x:numFmt numFmtId="205" formatCode="#,##0.00;(#,##0.00);0.00"/>
    <x:numFmt numFmtId="206" formatCode="0.##"/>
    <x:numFmt numFmtId="207" formatCode="0"/>
  </x:numFmts>
  <x:fonts count="11">
    <x:font>
      <x:sz val="11"/>
      <x:name val="Carlito"/>
    </x:font>
    <x:font>
      <x:sz val="10"/>
      <x:color rgb="FF243B53"/>
      <x:name val="Arial"/>
    </x:font>
    <x:font>
      <x:b/>
      <x:sz val="16"/>
      <x:color rgb="FF243B53"/>
      <x:name val="Arial"/>
    </x:font>
    <x:font>
      <x:sz val="10"/>
      <x:color rgb="FF2166AC"/>
      <x:name val="Arial"/>
    </x:font>
    <x:font>
      <x:b/>
      <x:sz val="10"/>
      <x:color rgb="FFFFFFFF"/>
      <x:name val="Arial"/>
    </x:font>
    <x:font>
      <x:b/>
      <x:sz val="10"/>
      <x:color rgb="FF243B53"/>
      <x:name val="Arial"/>
    </x:font>
    <x:font>
      <x:sz val="10"/>
      <x:color rgb="FF526778"/>
      <x:name val="Arial"/>
    </x:font>
    <x:font>
      <x:sz val="10"/>
      <x:color rgb="FF111111"/>
      <x:name val="Arial"/>
    </x:font>
    <x:font>
      <x:sz val="10"/>
      <x:color rgb="FF20734B"/>
      <x:name val="Arial"/>
    </x:font>
    <x:font>
      <x:b/>
      <x:sz val="10"/>
      <x:color rgb="FF111111"/>
      <x:name val="Arial"/>
    </x:font>
    <x:font>
      <x:b/>
      <x:sz val="14"/>
      <x:color rgb="FF243B5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43B53"/>
      </x:patternFill>
    </x:fill>
    <x:fill>
      <x:patternFill patternType="solid">
        <x:fgColor rgb="FFEFF4F8"/>
      </x:patternFill>
    </x:fill>
    <x:fill>
      <x:patternFill patternType="solid">
        <x:fgColor rgb="FFE9EFF5"/>
      </x:patternFill>
    </x:fill>
  </x:fills>
  <x:borders count="5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thin">
        <x:color rgb="FF243B53"/>
      </x:top>
      <x:bottom/>
      <x:diagonal/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202" fontId="3" fillId="2" borderId="0" xfId="0" applyNumberFormat="1" applyFont="1" applyFill="1" applyBorder="1" applyAlignment="1">
      <x:alignment vertical="center"/>
    </x:xf>
    <x:xf numFmtId="203" fontId="3" fillId="2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4" fontId="3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4" fontId="8" fillId="0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205" fontId="7" fillId="0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  <x:xf numFmtId="206" fontId="8" fillId="0" borderId="0" xfId="0" applyNumberFormat="1" applyFont="1" applyFill="1" applyBorder="1" applyAlignment="1">
      <x:alignment vertical="center"/>
    </x:xf>
    <x:xf numFmtId="207" fontId="7" fillId="0" borderId="0" xfId="0" applyNumberFormat="1" applyFont="1" applyFill="1" applyBorder="1" applyAlignment="1">
      <x:alignment vertical="center"/>
    </x:xf>
    <x:xf numFmtId="204" fontId="7" fillId="5" borderId="0" xfId="0" applyNumberFormat="1" applyFont="1" applyFill="1" applyBorder="1" applyAlignment="1">
      <x:alignment vertical="center"/>
    </x:xf>
    <x:xf numFmtId="204" fontId="9" fillId="5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0" fillId="0" borderId="0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204" fontId="5" fillId="0" borderId="4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5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2" fontId="8" fillId="0" borderId="0" xfId="0" applyNumberFormat="1" applyFont="1" applyFill="1" applyBorder="1" applyAlignment="1">
      <x:alignment vertical="center"/>
    </x:xf>
    <x:xf numFmtId="207" fontId="8" fillId="0" borderId="0" xfId="0" applyNumberFormat="1" applyFont="1" applyFill="1" applyBorder="1" applyAlignment="1">
      <x:alignment vertical="center"/>
    </x:xf>
    <x:xf numFmtId="204" fontId="8" fillId="0" borderId="0" xfId="0" applyNumberFormat="1" applyFont="1" applyFill="1" applyBorder="1" applyAlignment="1">
      <x:alignment horizontal="right" vertical="center"/>
    </x:xf>
    <x:xf numFmtId="205" fontId="7" fillId="0" borderId="0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1">
    <x:dxf>
      <x:font>
        <x:b/>
        <x:color rgb="FF9C2634"/>
      </x:font>
      <x:fill>
        <x:patternFill patternType="solid">
          <x:bgColor rgb="FFFBE6E8"/>
        </x:patternFill>
      </x:fill>
    </x:dxf>
    <x:dxf>
      <x:font>
        <x:b/>
        <x:color rgb="FF9C2634"/>
      </x:font>
      <x:fill>
        <x:patternFill patternType="solid">
          <x:bgColor rgb="FFFBE6E8"/>
        </x:patternFill>
      </x:fill>
    </x:dxf>
    <x:dxf>
      <x:font>
        <x:b/>
        <x:color rgb="FF9C2634"/>
      </x:font>
      <x:fill>
        <x:patternFill patternType="solid">
          <x:bgColor rgb="FFFBE6E8"/>
        </x:patternFill>
      </x:fill>
    </x:dxf>
    <x:dxf>
      <x:font>
        <x:b/>
        <x:color rgb="FF9C2634"/>
      </x:font>
      <x:fill>
        <x:patternFill patternType="solid">
          <x:bgColor rgb="FFFBE6E8"/>
        </x:patternFill>
      </x:fill>
    </x:dxf>
    <x:dxf>
      <x:font>
        <x:b/>
        <x:color rgb="FF9C2634"/>
      </x:font>
      <x:fill>
        <x:patternFill patternType="solid">
          <x:bgColor rgb="FFFBE6E8"/>
        </x:patternFill>
      </x:fill>
    </x:dxf>
    <x:dxf>
      <x:font>
        <x:b/>
        <x:color rgb="FF9C2634"/>
      </x:font>
      <x:fill>
        <x:patternFill patternType="solid">
          <x:bgColor rgb="FFFBE6E8"/>
        </x:patternFill>
      </x:fill>
    </x:dxf>
    <x:dxf>
      <x:font>
        <x:b/>
        <x:color rgb="FF9C2634"/>
      </x:font>
      <x:fill>
        <x:patternFill patternType="solid">
          <x:bgColor rgb="FFFBE6E8"/>
        </x:patternFill>
      </x:fill>
    </x:dxf>
    <x:dxf>
      <x:font>
        <x:b/>
        <x:color rgb="FF9C2634"/>
      </x:font>
      <x:fill>
        <x:patternFill patternType="solid">
          <x:bgColor rgb="FFFBE6E8"/>
        </x:patternFill>
      </x:fill>
    </x:dxf>
    <x:dxf>
      <x:font>
        <x:b/>
        <x:color rgb="FF9C2634"/>
      </x:font>
      <x:fill>
        <x:patternFill patternType="solid">
          <x:bgColor rgb="FFFBE6E8"/>
        </x:patternFill>
      </x:fill>
    </x:dxf>
    <x:dxf>
      <x:font>
        <x:b/>
        <x:color rgb="FF9C2634"/>
      </x:font>
      <x:fill>
        <x:patternFill patternType="solid">
          <x:bgColor rgb="FFFBE6E8"/>
        </x:patternFill>
      </x:fill>
    </x:dxf>
    <x:dxf>
      <x:font>
        <x:b/>
        <x:color rgb="FF9C2634"/>
      </x:font>
      <x:fill>
        <x:patternFill patternType="solid">
          <x:bgColor rgb="FFFBE6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1ea3e379124eee" /><Relationship Type="http://schemas.openxmlformats.org/officeDocument/2006/relationships/theme" Target="/xl/theme/theme1.xml" Id="Rc79d19100dbd4e1b" /><Relationship Type="http://schemas.openxmlformats.org/officeDocument/2006/relationships/sharedStrings" Target="/xl/sharedStrings.xml" Id="R1d9e6e1b626348e7" /><Relationship Type="http://schemas.openxmlformats.org/officeDocument/2006/relationships/worksheet" Target="/xl/worksheets/sheet1.xml" Id="R46e62c5639d746ea" /><Relationship Type="http://schemas.openxmlformats.org/officeDocument/2006/relationships/worksheet" Target="/xl/worksheets/sheet2.xml" Id="Rd73ba64076d24a5c" /><Relationship Type="http://schemas.openxmlformats.org/officeDocument/2006/relationships/worksheet" Target="/xl/worksheets/sheet3.xml" Id="Rde0265fb6ae04602" /><Relationship Type="http://schemas.openxmlformats.org/officeDocument/2006/relationships/worksheet" Target="/xl/worksheets/sheet4.xml" Id="R2c63fcead391473c" /><Relationship Type="http://schemas.openxmlformats.org/officeDocument/2006/relationships/worksheet" Target="/xl/worksheets/sheet5.xml" Id="Rd2f29e7be7fa4289" /><Relationship Type="http://schemas.openxmlformats.org/officeDocument/2006/relationships/worksheet" Target="/xl/worksheets/sheet6.xml" Id="Ra5a1755589b24ae3" /></Relationships>
</file>

<file path=xl/tables/table1.xml><?xml version="1.0" encoding="utf-8"?>
<x:table xmlns:x="http://schemas.openxmlformats.org/spreadsheetml/2006/main" id="1" name="PolicyInputs" displayName="PolicyInputs" ref="A15:F33" headerRowCount="1" totalsRowCount="0" totalsRowShown="0">
  <x:tableColumns count="6">
    <x:tableColumn id="1" name="资产编号（文本）"/>
    <x:tableColumn id="2" name="预计残值率"/>
    <x:tableColumn id="3" name="使用年限（年）"/>
    <x:tableColumn id="4" name="方法"/>
    <x:tableColumn id="5" name="政策状态"/>
    <x:tableColumn id="6" name="依据（模拟）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ssetInputs" displayName="AssetInputs" ref="A7:M26" headerRowCount="1" totalsRowCount="0" totalsRowShown="0">
  <x:tableColumns count="13">
    <x:tableColumn id="1" name="资产编号"/>
    <x:tableColumn id="2" name="资产名称"/>
    <x:tableColumn id="3" name="使用部门"/>
    <x:tableColumn id="4" name="计入科目"/>
    <x:tableColumn id="5" name="原值"/>
    <x:tableColumn id="6" name="单位"/>
    <x:tableColumn id="7" name="达到可使用状态"/>
    <x:tableColumn id="8" name="处置日期（可空）"/>
    <x:tableColumn id="9" name="期初累计折旧"/>
    <x:tableColumn id="10" name="1—11月实际折旧"/>
    <x:tableColumn id="11" name="终版全年实际折旧"/>
    <x:tableColumn id="12" name="证据索引（模拟）"/>
    <x:tableColumn id="13" name="现场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38359fee6f274a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dcc403ee2fc43f5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26" hidden="0" customWidth="1"/>
    <x:col min="2" max="2" width="24" hidden="0" customWidth="1"/>
    <x:col min="3" max="3" width="24" hidden="0" customWidth="1"/>
    <x:col min="4" max="4" width="24" hidden="0" customWidth="1"/>
    <x:col min="5" max="5" width="23" hidden="0" customWidth="1"/>
    <x:col min="6" max="6" width="26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25" customHeight="1">
      <x:c r="A2" s="3" t="str">
        <x:v>Day 09 固定资产折旧练习</x:v>
      </x:c>
      <x:c r="B2" s="2"/>
      <x:c r="C2" s="2"/>
      <x:c r="D2" s="2"/>
      <x:c r="E2" s="2"/>
      <x:c r="F2" s="2"/>
    </x:row>
    <x:row r="3" ht="25" customHeight="1">
      <x:c r="A3" s="2" t="str">
        <x:v>2024年教学模拟｜预计全年重算；十二月实提与最终差异待年后复核。</x:v>
      </x:c>
      <x:c r="B3" s="2"/>
      <x:c r="C3" s="2"/>
      <x:c r="D3" s="2"/>
      <x:c r="E3" s="2"/>
      <x:c r="F3" s="2"/>
    </x:row>
    <x:row r="4" ht="25" customHeight="1">
      <x:c r="A4" s="2" t="str">
        <x:v>台账记录数</x:v>
      </x:c>
      <x:c r="B4" s="42" t="n">
        <x:f>COUNTA(资产台账!A8:A26)</x:f>
        <x:v>19</x:v>
      </x:c>
      <x:c r="C4" s="2" t="str">
        <x:v>可计算记录</x:v>
      </x:c>
      <x:c r="D4" s="42" t="n">
        <x:f>COUNTIFS(固定资产重算!E8:E26,"可计算")</x:f>
        <x:v>10</x:v>
      </x:c>
      <x:c r="E4" s="2" t="str">
        <x:v>待核记录</x:v>
      </x:c>
      <x:c r="F4" s="42" t="n">
        <x:f>B4-D4</x:f>
        <x:v>9</x:v>
      </x:c>
    </x:row>
    <x:row r="5" ht="25" customHeight="1">
      <x:c r="A5" s="2" t="str">
        <x:v>预计全年折旧（可算范围）</x:v>
      </x:c>
      <x:c r="B5" s="34" t="n">
        <x:f>IF(D4=0,"无可算记录",SUMIFS(固定资产重算!Y8:Y26,固定资产重算!E8:E26,"可计算"))</x:f>
        <x:v>58366.61</x:v>
      </x:c>
      <x:c r="C5" s="2" t="str">
        <x:v>全年实际版本</x:v>
      </x:c>
      <x:c r="D5" s="2" t="str">
        <x:f>政策与口径!$B$10</x:f>
        <x:v>未结账</x:v>
      </x:c>
      <x:c r="E5" s="2" t="str">
        <x:v>金额单位</x:v>
      </x:c>
      <x:c r="F5" s="2" t="str">
        <x:f>政策与口径!$B$9</x:f>
        <x:v>元</x:v>
      </x:c>
    </x:row>
    <x:row r="6" ht="25" customHeight="1">
      <x:c r="A6" s="2" t="str">
        <x:v>以下只汇总可计算记录。待核记录不按零处理，也不能据此认定全量台账已核对完成。</x:v>
      </x:c>
      <x:c r="B6" s="2"/>
      <x:c r="C6" s="2"/>
      <x:c r="D6" s="2"/>
      <x:c r="E6" s="2"/>
      <x:c r="F6" s="2"/>
    </x:row>
    <x:row r="7" ht="25" customHeight="1">
      <x:c r="A7" s="2"/>
      <x:c r="B7" s="2"/>
      <x:c r="C7" s="2"/>
      <x:c r="D7" s="2"/>
      <x:c r="E7" s="2"/>
      <x:c r="F7" s="2"/>
    </x:row>
    <x:row r="8" ht="40" customHeight="1">
      <x:c r="A8" s="12" t="str">
        <x:v>使用部门</x:v>
      </x:c>
      <x:c r="B8" s="13" t="str">
        <x:v>预计全年重算</x:v>
      </x:c>
      <x:c r="C8" s="13" t="str">
        <x:v>1—11月重算</x:v>
      </x:c>
      <x:c r="D8" s="13" t="str">
        <x:v>1—11月账面</x:v>
      </x:c>
      <x:c r="E8" s="13" t="str">
        <x:v>重算－账面</x:v>
      </x:c>
      <x:c r="F8" s="14" t="str">
        <x:v>待核记录数</x:v>
      </x:c>
    </x:row>
    <x:row r="9" ht="25" customHeight="1">
      <x:c r="A9" s="2" t="str">
        <x:v>生产部</x:v>
      </x:c>
      <x:c r="B9" s="33" t="n">
        <x:f>IF(COUNTIFS(固定资产重算!$C$8:$C$26,A9,固定资产重算!$E$8:$E$26,"可计算")=0,"无可算记录",SUMIFS(固定资产重算!$Y$8:$Y$26,固定资产重算!$C$8:$C$26,A9,固定资产重算!$E$8:$E$26,"可计算"))</x:f>
        <x:v>44650</x:v>
      </x:c>
      <x:c r="C9" s="33" t="n">
        <x:f>IF(COUNTIFS(固定资产重算!$C$8:$C$26,A9,固定资产重算!$E$8:$E$26,"可计算")=0,"无可算记录",SUMIFS(固定资产重算!$V$8:$V$26,固定资产重算!$C$8:$C$26,A9,固定资产重算!$E$8:$E$26,"可计算"))</x:f>
        <x:v>40850</x:v>
      </x:c>
      <x:c r="D9" s="33" t="n">
        <x:f>IF(COUNTIFS(固定资产重算!$C$8:$C$26,A9,固定资产重算!$E$8:$E$26,"可计算")=0,"无可算记录",IF(COUNTIFS(固定资产重算!$C$8:$C$26,A9,固定资产重算!$E$8:$E$26,"可计算",固定资产重算!$W$8:$W$26,"待录入")+COUNTIFS(固定资产重算!$C$8:$C$26,A9,固定资产重算!$E$8:$E$26,"可计算",固定资产重算!$W$8:$W$26,"待核金额")&gt;0,"待录入或核对",SUMIFS(固定资产重算!$W$8:$W$26,固定资产重算!$C$8:$C$26,A9,固定资产重算!$E$8:$E$26,"可计算")))</x:f>
        <x:v>40350</x:v>
      </x:c>
      <x:c r="E9" s="38" t="n">
        <x:f>IF(AND(ISNUMBER(C9),ISNUMBER(D9)),C9-D9,"待核")</x:f>
        <x:v>500</x:v>
      </x:c>
      <x:c r="F9" s="2" t="n">
        <x:f>COUNTIFS(固定资产重算!$C$8:$C$26,A9,固定资产重算!$E$8:$E$26,"&lt;&gt;可计算")</x:f>
        <x:v>5</x:v>
      </x:c>
    </x:row>
    <x:row r="10" ht="25" customHeight="1">
      <x:c r="A10" s="2" t="str">
        <x:v>行政部</x:v>
      </x:c>
      <x:c r="B10" s="33" t="n">
        <x:f>IF(COUNTIFS(固定资产重算!$C$8:$C$26,A10,固定资产重算!$E$8:$E$26,"可计算")=0,"无可算记录",SUMIFS(固定资产重算!$Y$8:$Y$26,固定资产重算!$C$8:$C$26,A10,固定资产重算!$E$8:$E$26,"可计算"))</x:f>
        <x:v>10383.33</x:v>
      </x:c>
      <x:c r="C10" s="33" t="n">
        <x:f>IF(COUNTIFS(固定资产重算!$C$8:$C$26,A10,固定资产重算!$E$8:$E$26,"可计算")=0,"无可算记录",SUMIFS(固定资产重算!$V$8:$V$26,固定资产重算!$C$8:$C$26,A10,固定资产重算!$E$8:$E$26,"可计算"))</x:f>
        <x:v>10066.67</x:v>
      </x:c>
      <x:c r="D10" s="33" t="n">
        <x:f>IF(COUNTIFS(固定资产重算!$C$8:$C$26,A10,固定资产重算!$E$8:$E$26,"可计算")=0,"无可算记录",IF(COUNTIFS(固定资产重算!$C$8:$C$26,A10,固定资产重算!$E$8:$E$26,"可计算",固定资产重算!$W$8:$W$26,"待录入")+COUNTIFS(固定资产重算!$C$8:$C$26,A10,固定资产重算!$E$8:$E$26,"可计算",固定资产重算!$W$8:$W$26,"待核金额")&gt;0,"待录入或核对",SUMIFS(固定资产重算!$W$8:$W$26,固定资产重算!$C$8:$C$26,A10,固定资产重算!$E$8:$E$26,"可计算")))</x:f>
        <x:v>10066.67</x:v>
      </x:c>
      <x:c r="E10" s="38" t="n">
        <x:f>IF(AND(ISNUMBER(C10),ISNUMBER(D10)),C10-D10,"待核")</x:f>
        <x:v>0</x:v>
      </x:c>
      <x:c r="F10" s="2" t="n">
        <x:f>COUNTIFS(固定资产重算!$C$8:$C$26,A10,固定资产重算!$E$8:$E$26,"&lt;&gt;可计算")</x:f>
        <x:v>3</x:v>
      </x:c>
    </x:row>
    <x:row r="11" ht="25" customHeight="1">
      <x:c r="A11" s="2" t="str">
        <x:v>研发部</x:v>
      </x:c>
      <x:c r="B11" s="33" t="n">
        <x:f>IF(COUNTIFS(固定资产重算!$C$8:$C$26,A11,固定资产重算!$E$8:$E$26,"可计算")=0,"无可算记录",SUMIFS(固定资产重算!$Y$8:$Y$26,固定资产重算!$C$8:$C$26,A11,固定资产重算!$E$8:$E$26,"可计算"))</x:f>
        <x:v>3333.28</x:v>
      </x:c>
      <x:c r="C11" s="33" t="n">
        <x:f>IF(COUNTIFS(固定资产重算!$C$8:$C$26,A11,固定资产重算!$E$8:$E$26,"可计算")=0,"无可算记录",SUMIFS(固定资产重算!$V$8:$V$26,固定资产重算!$C$8:$C$26,A11,固定资产重算!$E$8:$E$26,"可计算"))</x:f>
        <x:v>3055.56</x:v>
      </x:c>
      <x:c r="D11" s="33" t="n">
        <x:f>IF(COUNTIFS(固定资产重算!$C$8:$C$26,A11,固定资产重算!$E$8:$E$26,"可计算")=0,"无可算记录",IF(COUNTIFS(固定资产重算!$C$8:$C$26,A11,固定资产重算!$E$8:$E$26,"可计算",固定资产重算!$W$8:$W$26,"待录入")+COUNTIFS(固定资产重算!$C$8:$C$26,A11,固定资产重算!$E$8:$E$26,"可计算",固定资产重算!$W$8:$W$26,"待核金额")&gt;0,"待录入或核对",SUMIFS(固定资产重算!$W$8:$W$26,固定资产重算!$C$8:$C$26,A11,固定资产重算!$E$8:$E$26,"可计算")))</x:f>
        <x:v>3055.58</x:v>
      </x:c>
      <x:c r="E11" s="38" t="n">
        <x:f>IF(AND(ISNUMBER(C11),ISNUMBER(D11)),C11-D11,"待核")</x:f>
        <x:v>-0.01999999999998181</x:v>
      </x:c>
      <x:c r="F11" s="2" t="n">
        <x:f>COUNTIFS(固定资产重算!$C$8:$C$26,A11,固定资产重算!$E$8:$E$26,"&lt;&gt;可计算")</x:f>
        <x:v>1</x:v>
      </x:c>
    </x:row>
    <x:row r="12" ht="25" customHeight="1">
      <x:c r="A12" s="36" t="str">
        <x:v>可算范围合计</x:v>
      </x:c>
      <x:c r="B12" s="37" t="n">
        <x:f>IF(COUNT(B9:B11)=3,SUM(B9:B11),"待核")</x:f>
        <x:v>58366.61</x:v>
      </x:c>
      <x:c r="C12" s="37" t="n">
        <x:f>IF(COUNT(C9:C11)=3,SUM(C9:C11),"待核")</x:f>
        <x:v>53972.229999999996</x:v>
      </x:c>
      <x:c r="D12" s="37" t="n">
        <x:f>IF(COUNT(D9:D11)=3,SUM(D9:D11),"待核")</x:f>
        <x:v>53472.25</x:v>
      </x:c>
      <x:c r="E12" s="39" t="n">
        <x:f>IF(COUNT(E9:E11)=3,SUM(E9:E11),"待核")</x:f>
        <x:v>499.98</x:v>
      </x:c>
      <x:c r="F12" s="36" t="n">
        <x:f>IF(COUNT(F9:F11)=3,SUM(F9:F11),"待核")</x:f>
        <x:v>9</x:v>
      </x:c>
    </x:row>
    <x:row r="13" ht="25" customHeight="1">
      <x:c r="A13" s="2"/>
      <x:c r="B13" s="2"/>
      <x:c r="C13" s="2"/>
      <x:c r="D13" s="2"/>
      <x:c r="E13" s="2"/>
      <x:c r="F13" s="2"/>
    </x:row>
    <x:row r="14" ht="25" customHeight="1">
      <x:c r="A14" s="2"/>
      <x:c r="B14" s="2"/>
      <x:c r="C14" s="2"/>
      <x:c r="D14" s="2"/>
      <x:c r="E14" s="2"/>
      <x:c r="F14" s="2"/>
    </x:row>
    <x:row r="15" ht="25" customHeight="1">
      <x:c r="A15" s="18" t="str">
        <x:v>台账与总账科目勾稽：同一选样范围的1—11月实提</x:v>
      </x:c>
      <x:c r="B15" s="18"/>
      <x:c r="C15" s="18"/>
      <x:c r="D15" s="18"/>
      <x:c r="E15" s="18"/>
      <x:c r="F15" s="18"/>
    </x:row>
    <x:row r="16" ht="40" customHeight="1">
      <x:c r="A16" s="12" t="str">
        <x:v>计入科目</x:v>
      </x:c>
      <x:c r="B16" s="13" t="str">
        <x:v>台账实提汇总</x:v>
      </x:c>
      <x:c r="C16" s="13" t="str">
        <x:v>总账对照输入</x:v>
      </x:c>
      <x:c r="D16" s="13" t="str">
        <x:v>台账－总账</x:v>
      </x:c>
      <x:c r="E16" s="13" t="str">
        <x:v>范围</x:v>
      </x:c>
      <x:c r="F16" s="14" t="str">
        <x:v>状态</x:v>
      </x:c>
    </x:row>
    <x:row r="17" ht="25" customHeight="1">
      <x:c r="A17" s="2" t="str">
        <x:v>制造费用</x:v>
      </x:c>
      <x:c r="B17" s="33" t="n">
        <x:f>IF(COUNTIFS(固定资产重算!$D$8:$D$26,A17,固定资产重算!$E$8:$E$26,"可计算")=0,"无可算记录",IF(COUNTIFS(固定资产重算!$D$8:$D$26,A17,固定资产重算!$E$8:$E$26,"可计算",固定资产重算!$W$8:$W$26,"待录入")+COUNTIFS(固定资产重算!$D$8:$D$26,A17,固定资产重算!$E$8:$E$26,"可计算",固定资产重算!$W$8:$W$26,"待核金额")&gt;0,"待录入或核对",SUMIFS(固定资产重算!$W$8:$W$26,固定资产重算!$D$8:$D$26,A17,固定资产重算!$E$8:$E$26,"可计算")))</x:f>
        <x:v>40350</x:v>
      </x:c>
      <x:c r="C17" s="33" t="n">
        <x:f>IF(ISBLANK(资产台账!B32),"待录入",资产台账!B32)</x:f>
        <x:v>40350</x:v>
      </x:c>
      <x:c r="D17" s="38" t="n">
        <x:f>IF(AND(ISNUMBER(B17),ISNUMBER(C17)),B17-C17,"待核")</x:f>
        <x:v>0</x:v>
      </x:c>
      <x:c r="E17" s="42" t="str">
        <x:v>0001—0010样例</x:v>
      </x:c>
      <x:c r="F17" s="42" t="str">
        <x:f>IF(NOT(ISNUMBER(D17)),"待核",IF(ABS(D17)&gt;政策与口径!$B$8,"查科目或范围","同范围一致"))</x:f>
        <x:v>同范围一致</x:v>
      </x:c>
    </x:row>
    <x:row r="18" ht="25" customHeight="1">
      <x:c r="A18" s="2" t="str">
        <x:v>管理费用</x:v>
      </x:c>
      <x:c r="B18" s="33" t="n">
        <x:f>IF(COUNTIFS(固定资产重算!$D$8:$D$26,A18,固定资产重算!$E$8:$E$26,"可计算")=0,"无可算记录",IF(COUNTIFS(固定资产重算!$D$8:$D$26,A18,固定资产重算!$E$8:$E$26,"可计算",固定资产重算!$W$8:$W$26,"待录入")+COUNTIFS(固定资产重算!$D$8:$D$26,A18,固定资产重算!$E$8:$E$26,"可计算",固定资产重算!$W$8:$W$26,"待核金额")&gt;0,"待录入或核对",SUMIFS(固定资产重算!$W$8:$W$26,固定资产重算!$D$8:$D$26,A18,固定资产重算!$E$8:$E$26,"可计算")))</x:f>
        <x:v>10066.67</x:v>
      </x:c>
      <x:c r="C18" s="33" t="n">
        <x:f>IF(ISBLANK(资产台账!B33),"待录入",资产台账!B33)</x:f>
        <x:v>10066.67</x:v>
      </x:c>
      <x:c r="D18" s="38" t="n">
        <x:f>IF(AND(ISNUMBER(B18),ISNUMBER(C18)),B18-C18,"待核")</x:f>
        <x:v>0</x:v>
      </x:c>
      <x:c r="E18" s="42" t="str">
        <x:v>0001—0010样例</x:v>
      </x:c>
      <x:c r="F18" s="42" t="str">
        <x:f>IF(NOT(ISNUMBER(D18)),"待核",IF(ABS(D18)&gt;政策与口径!$B$8,"查科目或范围","同范围一致"))</x:f>
        <x:v>同范围一致</x:v>
      </x:c>
    </x:row>
    <x:row r="19" ht="25" customHeight="1">
      <x:c r="A19" s="2" t="str">
        <x:v>研发费用</x:v>
      </x:c>
      <x:c r="B19" s="33" t="n">
        <x:f>IF(COUNTIFS(固定资产重算!$D$8:$D$26,A19,固定资产重算!$E$8:$E$26,"可计算")=0,"无可算记录",IF(COUNTIFS(固定资产重算!$D$8:$D$26,A19,固定资产重算!$E$8:$E$26,"可计算",固定资产重算!$W$8:$W$26,"待录入")+COUNTIFS(固定资产重算!$D$8:$D$26,A19,固定资产重算!$E$8:$E$26,"可计算",固定资产重算!$W$8:$W$26,"待核金额")&gt;0,"待录入或核对",SUMIFS(固定资产重算!$W$8:$W$26,固定资产重算!$D$8:$D$26,A19,固定资产重算!$E$8:$E$26,"可计算")))</x:f>
        <x:v>3055.58</x:v>
      </x:c>
      <x:c r="C19" s="33" t="n">
        <x:f>IF(ISBLANK(资产台账!B34),"待录入",资产台账!B34)</x:f>
        <x:v>3055.58</x:v>
      </x:c>
      <x:c r="D19" s="38" t="n">
        <x:f>IF(AND(ISNUMBER(B19),ISNUMBER(C19)),B19-C19,"待核")</x:f>
        <x:v>0</x:v>
      </x:c>
      <x:c r="E19" s="42" t="str">
        <x:v>0001—0010样例</x:v>
      </x:c>
      <x:c r="F19" s="42" t="str">
        <x:f>IF(NOT(ISNUMBER(D19)),"待核",IF(ABS(D19)&gt;政策与口径!$B$8,"查科目或范围","同范围一致"))</x:f>
        <x:v>同范围一致</x:v>
      </x:c>
    </x:row>
    <x:row r="20" ht="25" customHeight="1">
      <x:c r="A20" s="2"/>
      <x:c r="B20" s="2"/>
      <x:c r="C20" s="2"/>
      <x:c r="D20" s="2"/>
      <x:c r="E20" s="2"/>
      <x:c r="F20" s="2"/>
    </x:row>
    <x:row r="21" ht="25" customHeight="1">
      <x:c r="A21" s="2" t="str">
        <x:v>“同范围一致”只证明这10条样例的账面汇总可对上，不证明折旧算法正确或全量完整。</x:v>
      </x:c>
      <x:c r="B21" s="2"/>
      <x:c r="C21" s="2"/>
      <x:c r="D21" s="2"/>
      <x:c r="E21" s="2"/>
      <x:c r="F21" s="2"/>
    </x:row>
    <x:row r="22" ht="25" customHeight="1">
      <x:c r="A22" s="2"/>
      <x:c r="B22" s="2"/>
      <x:c r="C22" s="2"/>
      <x:c r="D22" s="2"/>
      <x:c r="E22" s="2"/>
      <x:c r="F22" s="2"/>
    </x:row>
    <x:row r="23" ht="25" customHeight="1">
      <x:c r="A23" s="18" t="str">
        <x:v>全年复核需要两个条件：终版版本确认，并逐项录入全年实提</x:v>
      </x:c>
      <x:c r="B23" s="18"/>
      <x:c r="C23" s="18"/>
      <x:c r="D23" s="18"/>
      <x:c r="E23" s="18"/>
      <x:c r="F23" s="18"/>
    </x:row>
    <x:row r="24" ht="25" customHeight="1">
      <x:c r="A24" s="2" t="str">
        <x:v>可算范围全年实提</x:v>
      </x:c>
      <x:c r="B24" s="33" t="str">
        <x:f>IF(OR(D4=0,政策与口径!$B$10&lt;&gt;"终版已确认",COUNTIFS(固定资产重算!$E$8:$E$26,"可计算",固定资产重算!$Z$8:$Z$26,"待录入")+COUNTIFS(固定资产重算!$E$8:$E$26,"可计算",固定资产重算!$Z$8:$Z$26,"待核金额")&gt;0),"待终版",SUMIFS(固定资产重算!$Z$8:$Z$26,固定资产重算!$E$8:$E$26,"可计算"))</x:f>
        <x:v>待终版</x:v>
      </x:c>
      <x:c r="C24" s="2" t="str">
        <x:v>全年重算－实提</x:v>
      </x:c>
      <x:c r="D24" s="38" t="str">
        <x:f>IF(AND(ISNUMBER(B5),ISNUMBER(B24)),B5-B24,"待终版")</x:f>
        <x:v>待终版</x:v>
      </x:c>
      <x:c r="E24" s="2"/>
      <x:c r="F24" s="2"/>
    </x:row>
    <x:row r="25" ht="25" customHeight="1">
      <x:c r="A25" s="2" t="str">
        <x:v>录入一个真实零，不等于留空；只改版本而不录金额，仍应显示待终版。</x:v>
      </x:c>
      <x:c r="B25" s="2"/>
      <x:c r="C25" s="2"/>
      <x:c r="D25" s="2"/>
      <x:c r="E25" s="2"/>
      <x:c r="F25" s="2"/>
    </x:row>
    <x:row r="26" ht="25" customHeight="1">
      <x:c r="A26" s="2"/>
      <x:c r="B26" s="2"/>
      <x:c r="C26" s="2"/>
      <x:c r="D26" s="2"/>
      <x:c r="E26" s="2"/>
      <x:c r="F26" s="2"/>
    </x:row>
    <x:row r="27" ht="25" customHeight="1">
      <x:c r="A27" s="2"/>
      <x:c r="B27" s="2"/>
      <x:c r="C27" s="2"/>
      <x:c r="D27" s="2"/>
      <x:c r="E27" s="2"/>
      <x:c r="F27" s="2"/>
    </x:row>
    <x:row r="28" ht="25" customHeight="1">
      <x:c r="A28" s="18" t="str">
        <x:v>按这个顺序操作（点击单元格，在公式栏查看完整函数）</x:v>
      </x:c>
      <x:c r="B28" s="18"/>
      <x:c r="C28" s="18"/>
      <x:c r="D28" s="18"/>
      <x:c r="E28" s="18"/>
      <x:c r="F28" s="18"/>
    </x:row>
    <x:row r="29" ht="40" customHeight="1">
      <x:c r="A29" s="12" t="str">
        <x:v>步骤</x:v>
      </x:c>
      <x:c r="B29" s="13" t="str">
        <x:v>工作表</x:v>
      </x:c>
      <x:c r="C29" s="13" t="str">
        <x:v>先看位置</x:v>
      </x:c>
      <x:c r="D29" s="13" t="str">
        <x:v>函数</x:v>
      </x:c>
      <x:c r="E29" s="13" t="str">
        <x:v>观察结果</x:v>
      </x:c>
      <x:c r="F29" s="14" t="str">
        <x:v>可以试改</x:v>
      </x:c>
    </x:row>
    <x:row r="30" ht="42" customHeight="1">
      <x:c r="A30" s="40" t="str">
        <x:v>1 先手算月份</x:v>
      </x:c>
      <x:c r="B30" s="40" t="str">
        <x:v>月数边界测试</x:v>
      </x:c>
      <x:c r="C30" s="40" t="str">
        <x:v>I8:J17</x:v>
      </x:c>
      <x:c r="D30" s="40" t="str">
        <x:v>DATEDIF / DATE</x:v>
      </x:c>
      <x:c r="E30" s="40" t="str">
        <x:v>自动月数与手算数比较</x:v>
      </x:c>
      <x:c r="F30" s="40" t="str">
        <x:v>B8改为2024-07-15</x:v>
      </x:c>
    </x:row>
    <x:row r="31" ht="42" customHeight="1">
      <x:c r="A31" s="40" t="str">
        <x:v>2 阅读参数</x:v>
      </x:c>
      <x:c r="B31" s="40" t="str">
        <x:v>政策与口径</x:v>
      </x:c>
      <x:c r="C31" s="40" t="str">
        <x:v>B4:B10 / A15:F33</x:v>
      </x:c>
      <x:c r="D31" s="40" t="str">
        <x:v>输入与版本</x:v>
      </x:c>
      <x:c r="E31" s="40" t="str">
        <x:v>年末预计、11月底实际</x:v>
      </x:c>
      <x:c r="F31" s="40" t="str">
        <x:v>B10只改版本不够</x:v>
      </x:c>
    </x:row>
    <x:row r="32" ht="42" customHeight="1">
      <x:c r="A32" s="40" t="str">
        <x:v>3 按编号找政策</x:v>
      </x:c>
      <x:c r="B32" s="40" t="str">
        <x:v>固定资产重算</x:v>
      </x:c>
      <x:c r="C32" s="40" t="str">
        <x:v>G8:H8</x:v>
      </x:c>
      <x:c r="D32" s="40" t="str">
        <x:v>XLOOKUP / COUNTIFS</x:v>
      </x:c>
      <x:c r="E32" s="40" t="str">
        <x:v>先判唯一，再精确匹配</x:v>
      </x:c>
      <x:c r="F32" s="40" t="str">
        <x:v>政策中0012故意重复</x:v>
      </x:c>
    </x:row>
    <x:row r="33" ht="42" customHeight="1">
      <x:c r="A33" s="40" t="str">
        <x:v>4 算折旧与上限</x:v>
      </x:c>
      <x:c r="B33" s="40" t="str">
        <x:v>固定资产重算</x:v>
      </x:c>
      <x:c r="C33" s="40" t="str">
        <x:v>L8:Y17</x:v>
      </x:c>
      <x:c r="D33" s="40" t="str">
        <x:v>MIN / MAX / ROUND</x:v>
      </x:c>
      <x:c r="E33" s="40" t="str">
        <x:v>先月数，再月额与余额</x:v>
      </x:c>
      <x:c r="F33" s="40" t="str">
        <x:v>看0004、0009、0010</x:v>
      </x:c>
    </x:row>
    <x:row r="34" ht="42" customHeight="1">
      <x:c r="A34" s="40" t="str">
        <x:v>5 汇总与核对</x:v>
      </x:c>
      <x:c r="B34" s="40" t="str">
        <x:v>重算总览</x:v>
      </x:c>
      <x:c r="C34" s="40" t="str">
        <x:v>B9 / B17</x:v>
      </x:c>
      <x:c r="D34" s="40" t="str">
        <x:v>SUMIFS</x:v>
      </x:c>
      <x:c r="E34" s="40" t="str">
        <x:v>部门与科目同范围比较</x:v>
      </x:c>
      <x:c r="F34" s="40" t="str">
        <x:v>资产0001原值增加1万</x:v>
      </x:c>
    </x:row>
    <x:row r="35" ht="42" customHeight="1">
      <x:c r="A35" s="40" t="str">
        <x:v>6 区分其他资产</x:v>
      </x:c>
      <x:c r="B35" s="40" t="str">
        <x:v>无形与待摊</x:v>
      </x:c>
      <x:c r="C35" s="40" t="str">
        <x:v>A7:L10</x:v>
      </x:c>
      <x:c r="D35" s="40" t="str">
        <x:v>字段与起摊点</x:v>
      </x:c>
      <x:c r="E35" s="40" t="str">
        <x:v>有限寿命、受益期间分开</x:v>
      </x:c>
      <x:c r="F35" s="40" t="str">
        <x:v>不能照搬固定资产规则</x:v>
      </x:c>
    </x:row>
    <x:row r="36" ht="25" customHeight="1">
      <x:c r="A36" s="2"/>
      <x:c r="B36" s="2"/>
      <x:c r="C36" s="2"/>
      <x:c r="D36" s="2"/>
      <x:c r="E36" s="2"/>
      <x:c r="F36" s="2"/>
    </x:row>
    <x:row r="37" ht="25" customHeight="1">
      <x:c r="A37" s="2"/>
      <x:c r="B37" s="2"/>
      <x:c r="C37" s="2"/>
      <x:c r="D37" s="2"/>
      <x:c r="E37" s="2"/>
      <x:c r="F37" s="2"/>
    </x:row>
    <x:row r="38" ht="25" customHeight="1">
      <x:c r="A38" s="2" t="str">
        <x:v>颜色：黄底蓝字＝可改输入；绿色＝跨表取数；黑色＝计算；浅红＝待核或超过容差。</x:v>
      </x:c>
      <x:c r="B38" s="2"/>
      <x:c r="C38" s="2"/>
      <x:c r="D38" s="2"/>
      <x:c r="E38" s="2"/>
      <x:c r="F38" s="2"/>
    </x:row>
    <x:row r="39" ht="25" customHeight="1">
      <x:c r="A39" s="2"/>
      <x:c r="B39" s="2"/>
      <x:c r="C39" s="2"/>
      <x:c r="D39" s="2"/>
      <x:c r="E39" s="2"/>
      <x:c r="F39" s="2"/>
    </x:row>
    <x:row r="40" ht="25" customHeight="1">
      <x:c r="A40" s="2" t="str">
        <x:v>独立边界测试与来源在后续工作表。会计折旧与税务扣除不同，本工作簿只演示选定会计政策。</x:v>
      </x:c>
      <x:c r="B40" s="2"/>
      <x:c r="C40" s="2"/>
      <x:c r="D40" s="2"/>
      <x:c r="E40" s="2"/>
      <x:c r="F40" s="2"/>
    </x:row>
    <x:row r="41" ht="25" customHeight="1">
      <x:c r="A41" s="2"/>
      <x:c r="B41" s="2"/>
      <x:c r="C41" s="2"/>
      <x:c r="D41" s="2"/>
      <x:c r="E41" s="2"/>
      <x:c r="F41" s="2"/>
    </x:row>
    <x:row r="42" ht="25" customHeight="1">
      <x:c r="A42" s="2" t="str">
        <x:v>这是一份待带教复核的教学底稿。没有填写十二月实际、审计调整或已完成复核的结论。</x:v>
      </x:c>
      <x:c r="B42" s="2"/>
      <x:c r="C42" s="2"/>
      <x:c r="D42" s="2"/>
      <x:c r="E42" s="2"/>
      <x:c r="F42" s="2"/>
    </x:row>
    <x:row r="43" ht="25" customHeight="1">
      <x:c r="A43" s="2"/>
      <x:c r="B43" s="2"/>
      <x:c r="C43" s="2"/>
      <x:c r="D43" s="2"/>
      <x:c r="E43" s="2"/>
      <x:c r="F43" s="2"/>
    </x:row>
    <x:row r="44" ht="25" customHeight="1">
      <x:c r="A44" s="2"/>
      <x:c r="B44" s="2"/>
      <x:c r="C44" s="2"/>
      <x:c r="D44" s="2"/>
      <x:c r="E44" s="2"/>
      <x:c r="F44" s="2"/>
    </x:row>
    <x:row r="45" ht="25" customHeight="1">
      <x:c r="A45" s="2"/>
      <x:c r="B45" s="2"/>
      <x:c r="C45" s="2"/>
      <x:c r="D45" s="2"/>
      <x:c r="E45" s="2"/>
      <x:c r="F45" s="2"/>
    </x:row>
    <x:row r="46" ht="25" customHeight="1">
      <x:c r="A46" s="2"/>
      <x:c r="B46" s="2"/>
      <x:c r="C46" s="2"/>
      <x:c r="D46" s="2"/>
      <x:c r="E46" s="2"/>
      <x:c r="F46" s="2"/>
    </x:row>
    <x:row r="47" ht="25" customHeight="1">
      <x:c r="A47" s="2"/>
      <x:c r="B47" s="2"/>
      <x:c r="C47" s="2"/>
      <x:c r="D47" s="2"/>
      <x:c r="E47" s="2"/>
      <x:c r="F47" s="2"/>
    </x:row>
    <x:row r="48" ht="25" customHeight="1">
      <x:c r="A48" s="2"/>
      <x:c r="B48" s="2"/>
      <x:c r="C48" s="2"/>
      <x:c r="D48" s="2"/>
      <x:c r="E48" s="2"/>
      <x:c r="F48" s="2"/>
    </x:row>
    <x:row r="49" ht="25" customHeight="1">
      <x:c r="A49" s="2"/>
      <x:c r="B49" s="2"/>
      <x:c r="C49" s="2"/>
      <x:c r="D49" s="2"/>
      <x:c r="E49" s="2"/>
      <x:c r="F49" s="2"/>
    </x:row>
    <x:row r="50" ht="25" customHeight="1">
      <x:c r="A50" s="2"/>
      <x:c r="B50" s="2"/>
      <x:c r="C50" s="2"/>
      <x:c r="D50" s="2"/>
      <x:c r="E50" s="2"/>
      <x:c r="F50" s="2"/>
    </x:row>
    <x:row r="51" ht="25" customHeight="1">
      <x:c r="A51" s="2"/>
      <x:c r="B51" s="2"/>
      <x:c r="C51" s="2"/>
      <x:c r="D51" s="2"/>
      <x:c r="E51" s="2"/>
      <x:c r="F51" s="2"/>
    </x:row>
    <x:row r="52" ht="25" customHeight="1">
      <x:c r="A52" s="2"/>
      <x:c r="B52" s="2"/>
      <x:c r="C52" s="2"/>
      <x:c r="D52" s="2"/>
      <x:c r="E52" s="2"/>
      <x:c r="F52" s="2"/>
    </x:row>
    <x:row r="53" ht="25" customHeight="1">
      <x:c r="A53" s="2"/>
      <x:c r="B53" s="2"/>
      <x:c r="C53" s="2"/>
      <x:c r="D53" s="2"/>
      <x:c r="E53" s="2"/>
      <x:c r="F53" s="2"/>
    </x:row>
    <x:row r="54" ht="25" customHeight="1">
      <x:c r="A54" s="2"/>
      <x:c r="B54" s="2"/>
      <x:c r="C54" s="2"/>
      <x:c r="D54" s="2"/>
      <x:c r="E54" s="2"/>
      <x:c r="F54" s="2"/>
    </x:row>
  </x:sheetData>
  <x:conditionalFormatting sqref="E9:E12">
    <x:cfRule type="expression" dxfId="6" priority="1">
      <x:formula>AND(ISNUMBER(E9),ABS(E9)&gt;'政策与口径'!$B$8)</x:formula>
    </x:cfRule>
  </x:conditionalFormatting>
  <x:conditionalFormatting sqref="F9:F11">
    <x:cfRule type="expression" dxfId="7" priority="2">
      <x:formula>F9&gt;0</x:formula>
    </x:cfRule>
  </x:conditionalFormatting>
  <x:conditionalFormatting sqref="D17:D19">
    <x:cfRule type="expression" dxfId="8" priority="3">
      <x:formula>AND(ISNUMBER(D17),ABS(D17)&gt;'政策与口径'!$B$8)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95877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5" hidden="0" customWidth="1"/>
    <x:col min="4" max="4" width="18" hidden="0" customWidth="1"/>
    <x:col min="5" max="5" width="29" hidden="0" customWidth="1"/>
    <x:col min="6" max="6" width="17" hidden="0" customWidth="1"/>
    <x:col min="7" max="7" width="13" hidden="0" customWidth="1"/>
    <x:col min="8" max="8" width="13" hidden="0" customWidth="1"/>
    <x:col min="9" max="9" width="18" hidden="0" customWidth="1"/>
    <x:col min="10" max="10" width="18" hidden="0" customWidth="1"/>
    <x:col min="11" max="11" width="20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2" hidden="0" customWidth="1"/>
    <x:col min="17" max="17" width="18" hidden="0" customWidth="1"/>
    <x:col min="18" max="18" width="20" hidden="0" customWidth="1"/>
    <x:col min="19" max="19" width="18" hidden="0" customWidth="1"/>
    <x:col min="20" max="20" width="19" hidden="0" customWidth="1"/>
    <x:col min="21" max="21" width="15" hidden="0" customWidth="1"/>
    <x:col min="22" max="22" width="20" hidden="0" customWidth="1"/>
    <x:col min="23" max="23" width="20" hidden="0" customWidth="1"/>
    <x:col min="24" max="24" width="19" hidden="0" customWidth="1"/>
    <x:col min="25" max="25" width="22" hidden="0" customWidth="1"/>
    <x:col min="26" max="26" width="22" hidden="0" customWidth="1"/>
    <x:col min="27" max="27" width="21" hidden="0" customWidth="1"/>
    <x:col min="28" max="28" width="3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5" customHeight="1">
      <x:c r="A2" s="3" t="str">
        <x:v>固定资产折旧重算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25" customHeight="1">
      <x:c r="A3" s="2" t="str">
        <x:v>单位：元。横向按“参数 → 月份 → 金额 → 同期核对 → 全年待终版”阅读。A—B列及表头已冻结。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5" customHeight="1">
      <x:c r="A4" s="2" t="str">
        <x:v>可计算不等于审计确认。无减值、估计变更或重估；源数据错误先待核，全年预计不替代终版实提。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25" customHeight="1">
      <x:c r="A6" s="18" t="str">
        <x:v>资产识别与输入检查</x:v>
      </x:c>
      <x:c r="B6" s="18"/>
      <x:c r="C6" s="18"/>
      <x:c r="D6" s="18"/>
      <x:c r="E6" s="18"/>
      <x:c r="F6" s="18" t="str">
        <x:v>原值、政策与历史</x:v>
      </x:c>
      <x:c r="G6" s="18"/>
      <x:c r="H6" s="18"/>
      <x:c r="I6" s="18"/>
      <x:c r="J6" s="18"/>
      <x:c r="K6" s="18"/>
      <x:c r="L6" s="18" t="str">
        <x:v>计提区间与月数</x:v>
      </x:c>
      <x:c r="M6" s="18"/>
      <x:c r="N6" s="18"/>
      <x:c r="O6" s="18"/>
      <x:c r="P6" s="18"/>
      <x:c r="Q6" s="18" t="str">
        <x:v>单月金额与累计上限</x:v>
      </x:c>
      <x:c r="R6" s="18"/>
      <x:c r="S6" s="18"/>
      <x:c r="T6" s="18"/>
      <x:c r="U6" s="18" t="str">
        <x:v>1—11月同期间核对</x:v>
      </x:c>
      <x:c r="V6" s="18"/>
      <x:c r="W6" s="18"/>
      <x:c r="X6" s="18"/>
      <x:c r="Y6" s="18" t="str">
        <x:v>预计全年与终版复核</x:v>
      </x:c>
      <x:c r="Z6" s="18"/>
      <x:c r="AA6" s="18"/>
      <x:c r="AB6" s="18"/>
    </x:row>
    <x:row r="7" ht="40" customHeight="1">
      <x:c r="A7" s="12" t="str">
        <x:v>资产编号</x:v>
      </x:c>
      <x:c r="B7" s="13" t="str">
        <x:v>资产名称</x:v>
      </x:c>
      <x:c r="C7" s="13" t="str">
        <x:v>部门</x:v>
      </x:c>
      <x:c r="D7" s="13" t="str">
        <x:v>计入科目</x:v>
      </x:c>
      <x:c r="E7" s="13" t="str">
        <x:v>输入状态</x:v>
      </x:c>
      <x:c r="F7" s="13" t="str">
        <x:v>原值</x:v>
      </x:c>
      <x:c r="G7" s="13" t="str">
        <x:v>残值率</x:v>
      </x:c>
      <x:c r="H7" s="13" t="str">
        <x:v>寿命（年）</x:v>
      </x:c>
      <x:c r="I7" s="13" t="str">
        <x:v>可使用状态日</x:v>
      </x:c>
      <x:c r="J7" s="13" t="str">
        <x:v>处置日</x:v>
      </x:c>
      <x:c r="K7" s="13" t="str">
        <x:v>期初账面累计</x:v>
      </x:c>
      <x:c r="L7" s="13" t="str">
        <x:v>首次计提月</x:v>
      </x:c>
      <x:c r="M7" s="13" t="str">
        <x:v>寿命最后计提月</x:v>
      </x:c>
      <x:c r="N7" s="13" t="str">
        <x:v>本期起月</x:v>
      </x:c>
      <x:c r="O7" s="13" t="str">
        <x:v>本期止月</x:v>
      </x:c>
      <x:c r="P7" s="13" t="str">
        <x:v>本年月数</x:v>
      </x:c>
      <x:c r="Q7" s="13" t="str">
        <x:v>未取整月折旧</x:v>
      </x:c>
      <x:c r="R7" s="13" t="str">
        <x:v>理论期初累计</x:v>
      </x:c>
      <x:c r="S7" s="13" t="str">
        <x:v>期初账面－理论</x:v>
      </x:c>
      <x:c r="T7" s="13" t="str">
        <x:v>期初剩余可折旧</x:v>
      </x:c>
      <x:c r="U7" s="13" t="str">
        <x:v>1—11月月数</x:v>
      </x:c>
      <x:c r="V7" s="13" t="str">
        <x:v>1—11月重算</x:v>
      </x:c>
      <x:c r="W7" s="13" t="str">
        <x:v>1—11月实提</x:v>
      </x:c>
      <x:c r="X7" s="13" t="str">
        <x:v>重算－实提</x:v>
      </x:c>
      <x:c r="Y7" s="13" t="str">
        <x:v>预计全年重算</x:v>
      </x:c>
      <x:c r="Z7" s="13" t="str">
        <x:v>终版全年实提</x:v>
      </x:c>
      <x:c r="AA7" s="13" t="str">
        <x:v>全年重算－实提</x:v>
      </x:c>
      <x:c r="AB7" s="14" t="str">
        <x:v>后续复核</x:v>
      </x:c>
    </x:row>
    <x:row r="8" ht="25" customHeight="1">
      <x:c r="A8" s="44" t="str">
        <x:f>资产台账!A8</x:f>
        <x:v>0001</x:v>
      </x:c>
      <x:c r="B8" s="22" t="str">
        <x:f>资产台账!B8</x:f>
        <x:v>装配测试机A</x:v>
      </x:c>
      <x:c r="C8" s="22" t="str">
        <x:f>资产台账!C8</x:f>
        <x:v>生产部</x:v>
      </x:c>
      <x:c r="D8" s="22" t="str">
        <x:f>资产台账!D8</x:f>
        <x:v>制造费用</x:v>
      </x:c>
      <x:c r="E8" s="21" t="str">
        <x:f>IF(A8="","待核：编号为空",IF(NOT(ISTEXT(A8)),"待核：编号非文本",IF(COUNTIFS(资产台账!$A$8:$A$26,A8)&lt;&gt;1,"待核：台账编号重复",IF(COUNTIFS(政策与口径!$A$16:$A$33,A8)&lt;&gt;1,"待核：政策缺失或重复",IF(OR(NOT(ISNUMBER(F8)),F8&lt;=0),"待核：原值格式",IF(资产台账!F8&lt;&gt;政策与口径!$B$9,"待核：金额单位",IF(OR(NOT(ISNUMBER(G8)),G8&lt;0,G8&gt;=1),"待核：残值率",IF(NOT(ISNUMBER(H8)),"待核：寿命格式",IF(OR(H8&lt;=0,MOD(H8*12,1)&lt;&gt;0),"待核：寿命",IF(NOT(ISNUMBER(I8)),"待核：可使用日期",IF(AND(J8&lt;&gt;"",OR(NOT(ISNUMBER(J8)),J8&lt;I8)),"待核：处置日期",IF(OR(NOT(ISNUMBER(K8)),K8&lt;0,K8&gt;F8*(1-G8)+政策与口径!$B$8),"待核：期初累计",IF(_xlfn.XLOOKUP(A8,政策与口径!$A$16:$A$33,政策与口径!$E$16:$E$33,"待核：未匹配",0)&lt;&gt;"示例已确认","待核：政策依据",IF(_xlfn.XLOOKUP(A8,政策与口径!$A$16:$A$33,政策与口径!$D$16:$D$33,"待核：未匹配",0)&lt;&gt;"按月直线法","待核：折旧方法","可计算"))))))))))))))</x:f>
        <x:v>可计算</x:v>
      </x:c>
      <x:c r="F8" s="25" t="n">
        <x:f>资产台账!E8</x:f>
        <x:v>120000</x:v>
      </x:c>
      <x:c r="G8" s="28" t="n">
        <x:f>IF(COUNTIFS(政策与口径!$A$16:$A$33,A8)&lt;&gt;1,"待核：政策编号",IF(COUNTIFS(政策与口径!$A$16:$A$33,A8,政策与口径!$B$16:$B$33,"&lt;&gt;")&lt;&gt;1,"待核：参数空白",_xlfn.XLOOKUP(A8,政策与口径!$A$16:$A$33,政策与口径!$B$16:$B$33,"待核：未匹配",0)))</x:f>
        <x:v>0.05</x:v>
      </x:c>
      <x:c r="H8" s="45" t="n">
        <x:f>IF(COUNTIFS(政策与口径!$A$16:$A$33,A8)&lt;&gt;1,"待核：政策编号",IF(COUNTIFS(政策与口径!$A$16:$A$33,A8,政策与口径!$C$16:$C$33,"&lt;&gt;")&lt;&gt;1,"待核：参数空白",_xlfn.XLOOKUP(A8,政策与口径!$A$16:$A$33,政策与口径!$C$16:$C$33,"待核：未匹配",0)))</x:f>
        <x:v>5</x:v>
      </x:c>
      <x:c r="I8" s="23" t="n">
        <x:f>IF(ISBLANK(资产台账!G8),"",资产台账!G8)</x:f>
        <x:v>45458</x:v>
      </x:c>
      <x:c r="J8" s="23" t="str">
        <x:f>IF(ISBLANK(资产台账!H8),"",资产台账!H8)</x:f>
      </x:c>
      <x:c r="K8" s="25" t="n">
        <x:f>IF(ISBLANK(资产台账!I8),"",资产台账!I8)</x:f>
        <x:v>0</x:v>
      </x:c>
      <x:c r="L8" s="24" t="n">
        <x:f>IF(E8&lt;&gt;"可计算","待核",DATE(YEAR(I8),MONTH(I8)+1,1))</x:f>
        <x:v>45474</x:v>
      </x:c>
      <x:c r="M8" s="24" t="n">
        <x:f>IF(E8&lt;&gt;"可计算","待核",EDATE(L8,H8*12-1))</x:f>
        <x:v>47270</x:v>
      </x:c>
      <x:c r="N8" s="24" t="n">
        <x:f>IF(E8&lt;&gt;"可计算","待核",MAX(L8,DATE(YEAR(政策与口径!$B$5),MONTH(政策与口径!$B$5),1)))</x:f>
        <x:v>45474</x:v>
      </x:c>
      <x:c r="O8" s="24" t="n">
        <x:f>IF(E8&lt;&gt;"可计算","待核",MIN(M8,DATE(YEAR(政策与口径!$B$6),MONTH(政策与口径!$B$6),1),IF(J8="",DATE(YEAR(政策与口径!$B$6),MONTH(政策与口径!$B$6),1),DATE(YEAR(J8),MONTH(J8),1))))</x:f>
        <x:v>45627</x:v>
      </x:c>
      <x:c r="P8" s="30" t="n">
        <x:f>IF(E8&lt;&gt;"可计算","待核",IF(O8&lt;N8,0,DATEDIF(N8,O8,"m")+1))</x:f>
        <x:v>6</x:v>
      </x:c>
      <x:c r="Q8" s="26" t="n">
        <x:f>IF(E8&lt;&gt;"可计算","待核",F8*(1-G8)/(H8*12))</x:f>
        <x:v>1900</x:v>
      </x:c>
      <x:c r="R8" s="26" t="n">
        <x:f>IF(E8&lt;&gt;"可计算","待核",IF(AND(J8&lt;&gt;"",J8&lt;政策与口径!$B$5),0,IF(L8&gt;EDATE(DATE(YEAR(政策与口径!$B$5),MONTH(政策与口径!$B$5),1),-1),0,ROUND(MIN(F8*(1-G8),Q8*(DATEDIF(L8,EDATE(DATE(YEAR(政策与口径!$B$5),MONTH(政策与口径!$B$5),1),-1),"m")+1)),2))))</x:f>
        <x:v>0</x:v>
      </x:c>
      <x:c r="S8" s="27" t="n">
        <x:f>IF(E8&lt;&gt;"可计算","待核",K8-R8)</x:f>
        <x:v>0</x:v>
      </x:c>
      <x:c r="T8" s="26" t="n">
        <x:f>IF(E8&lt;&gt;"可计算","待核",MAX(0,F8*(1-G8)-K8))</x:f>
        <x:v>114000</x:v>
      </x:c>
      <x:c r="U8" s="30" t="n">
        <x:f>IF(E8&lt;&gt;"可计算","待核",IF(MIN(O8,DATE(YEAR(政策与口径!$B$7),MONTH(政策与口径!$B$7),1))&lt;N8,0,DATEDIF(N8,MIN(O8,DATE(YEAR(政策与口径!$B$7),MONTH(政策与口径!$B$7),1)),"m")+1))</x:f>
        <x:v>5</x:v>
      </x:c>
      <x:c r="V8" s="26" t="n">
        <x:f>IF(E8&lt;&gt;"可计算","待核",ROUND(MIN(T8,U8*Q8),2))</x:f>
        <x:v>9500</x:v>
      </x:c>
      <x:c r="W8" s="25" t="n">
        <x:f>IF(ISBLANK(资产台账!J8),"待录入",IF(ISNUMBER(资产台账!J8),资产台账!J8,"待核金额"))</x:f>
        <x:v>9000</x:v>
      </x:c>
      <x:c r="X8" s="27" t="n">
        <x:f>IF(AND(E8="可计算",ISNUMBER(W8)),V8-W8,"待核")</x:f>
        <x:v>500</x:v>
      </x:c>
      <x:c r="Y8" s="32" t="n">
        <x:f>IF(E8&lt;&gt;"可计算","待核",ROUND(MIN(T8,P8*Q8),2))</x:f>
        <x:v>11400</x:v>
      </x:c>
      <x:c r="Z8" s="46" t="str">
        <x:f>IF(ISBLANK(资产台账!K8),"待录入",IF(ISNUMBER(资产台账!K8),资产台账!K8,"待核金额"))</x:f>
        <x:v>待录入</x:v>
      </x:c>
      <x:c r="AA8" s="47" t="str">
        <x:f>IF(OR(E8&lt;&gt;"可计算",政策与口径!$B$10&lt;&gt;"终版已确认",NOT(ISNUMBER(Z8))),"待终版",Y8-Z8)</x:f>
        <x:v>待终版</x:v>
      </x:c>
      <x:c r="AB8" s="21" t="str">
        <x:f>IF(E8&lt;&gt;"可计算",E8,IF(ABS(S8)&gt;政策与口径!$B$8,"期初累计差异，先核历史",IF(NOT(ISNUMBER(Z8)),"全年实提待录入",IF(政策与口径!$B$10&lt;&gt;"终版已确认","版本待确认","待梁老师复核"))))</x:f>
        <x:v>全年实提待录入</x:v>
      </x:c>
    </x:row>
    <x:row r="9" ht="25" customHeight="1">
      <x:c r="A9" s="44" t="str">
        <x:f>资产台账!A9</x:f>
        <x:v>0002</x:v>
      </x:c>
      <x:c r="B9" s="22" t="str">
        <x:f>资产台账!B9</x:f>
        <x:v>行政电脑</x:v>
      </x:c>
      <x:c r="C9" s="22" t="str">
        <x:f>资产台账!C9</x:f>
        <x:v>行政部</x:v>
      </x:c>
      <x:c r="D9" s="22" t="str">
        <x:f>资产台账!D9</x:f>
        <x:v>管理费用</x:v>
      </x:c>
      <x:c r="E9" s="21" t="str">
        <x:f>IF(A9="","待核：编号为空",IF(NOT(ISTEXT(A9)),"待核：编号非文本",IF(COUNTIFS(资产台账!$A$8:$A$26,A9)&lt;&gt;1,"待核：台账编号重复",IF(COUNTIFS(政策与口径!$A$16:$A$33,A9)&lt;&gt;1,"待核：政策缺失或重复",IF(OR(NOT(ISNUMBER(F9)),F9&lt;=0),"待核：原值格式",IF(资产台账!F9&lt;&gt;政策与口径!$B$9,"待核：金额单位",IF(OR(NOT(ISNUMBER(G9)),G9&lt;0,G9&gt;=1),"待核：残值率",IF(NOT(ISNUMBER(H9)),"待核：寿命格式",IF(OR(H9&lt;=0,MOD(H9*12,1)&lt;&gt;0),"待核：寿命",IF(NOT(ISNUMBER(I9)),"待核：可使用日期",IF(AND(J9&lt;&gt;"",OR(NOT(ISNUMBER(J9)),J9&lt;I9)),"待核：处置日期",IF(OR(NOT(ISNUMBER(K9)),K9&lt;0,K9&gt;F9*(1-G9)+政策与口径!$B$8),"待核：期初累计",IF(_xlfn.XLOOKUP(A9,政策与口径!$A$16:$A$33,政策与口径!$E$16:$E$33,"待核：未匹配",0)&lt;&gt;"示例已确认","待核：政策依据",IF(_xlfn.XLOOKUP(A9,政策与口径!$A$16:$A$33,政策与口径!$D$16:$D$33,"待核：未匹配",0)&lt;&gt;"按月直线法","待核：折旧方法","可计算"))))))))))))))</x:f>
        <x:v>可计算</x:v>
      </x:c>
      <x:c r="F9" s="25" t="n">
        <x:f>资产台账!E9</x:f>
        <x:v>12000</x:v>
      </x:c>
      <x:c r="G9" s="28" t="n">
        <x:f>IF(COUNTIFS(政策与口径!$A$16:$A$33,A9)&lt;&gt;1,"待核：政策编号",IF(COUNTIFS(政策与口径!$A$16:$A$33,A9,政策与口径!$B$16:$B$33,"&lt;&gt;")&lt;&gt;1,"待核：参数空白",_xlfn.XLOOKUP(A9,政策与口径!$A$16:$A$33,政策与口径!$B$16:$B$33,"待核：未匹配",0)))</x:f>
        <x:v>0.05</x:v>
      </x:c>
      <x:c r="H9" s="45" t="n">
        <x:f>IF(COUNTIFS(政策与口径!$A$16:$A$33,A9)&lt;&gt;1,"待核：政策编号",IF(COUNTIFS(政策与口径!$A$16:$A$33,A9,政策与口径!$C$16:$C$33,"&lt;&gt;")&lt;&gt;1,"待核：参数空白",_xlfn.XLOOKUP(A9,政策与口径!$A$16:$A$33,政策与口径!$C$16:$C$33,"待核：未匹配",0)))</x:f>
        <x:v>3</x:v>
      </x:c>
      <x:c r="I9" s="23" t="n">
        <x:f>IF(ISBLANK(资产台账!G9),"",资产台账!G9)</x:f>
        <x:v>45322</x:v>
      </x:c>
      <x:c r="J9" s="23" t="str">
        <x:f>IF(ISBLANK(资产台账!H9),"",资产台账!H9)</x:f>
      </x:c>
      <x:c r="K9" s="25" t="n">
        <x:f>IF(ISBLANK(资产台账!I9),"",资产台账!I9)</x:f>
        <x:v>0</x:v>
      </x:c>
      <x:c r="L9" s="24" t="n">
        <x:f>IF(E9&lt;&gt;"可计算","待核",DATE(YEAR(I9),MONTH(I9)+1,1))</x:f>
        <x:v>45323</x:v>
      </x:c>
      <x:c r="M9" s="24" t="n">
        <x:f>IF(E9&lt;&gt;"可计算","待核",EDATE(L9,H9*12-1))</x:f>
        <x:v>46388</x:v>
      </x:c>
      <x:c r="N9" s="24" t="n">
        <x:f>IF(E9&lt;&gt;"可计算","待核",MAX(L9,DATE(YEAR(政策与口径!$B$5),MONTH(政策与口径!$B$5),1)))</x:f>
        <x:v>45323</x:v>
      </x:c>
      <x:c r="O9" s="24" t="n">
        <x:f>IF(E9&lt;&gt;"可计算","待核",MIN(M9,DATE(YEAR(政策与口径!$B$6),MONTH(政策与口径!$B$6),1),IF(J9="",DATE(YEAR(政策与口径!$B$6),MONTH(政策与口径!$B$6),1),DATE(YEAR(J9),MONTH(J9),1))))</x:f>
        <x:v>45627</x:v>
      </x:c>
      <x:c r="P9" s="30" t="n">
        <x:f>IF(E9&lt;&gt;"可计算","待核",IF(O9&lt;N9,0,DATEDIF(N9,O9,"m")+1))</x:f>
        <x:v>11</x:v>
      </x:c>
      <x:c r="Q9" s="26" t="n">
        <x:f>IF(E9&lt;&gt;"可计算","待核",F9*(1-G9)/(H9*12))</x:f>
        <x:v>316.6666666666667</x:v>
      </x:c>
      <x:c r="R9" s="26" t="n">
        <x:f>IF(E9&lt;&gt;"可计算","待核",IF(AND(J9&lt;&gt;"",J9&lt;政策与口径!$B$5),0,IF(L9&gt;EDATE(DATE(YEAR(政策与口径!$B$5),MONTH(政策与口径!$B$5),1),-1),0,ROUND(MIN(F9*(1-G9),Q9*(DATEDIF(L9,EDATE(DATE(YEAR(政策与口径!$B$5),MONTH(政策与口径!$B$5),1),-1),"m")+1)),2))))</x:f>
        <x:v>0</x:v>
      </x:c>
      <x:c r="S9" s="27" t="n">
        <x:f>IF(E9&lt;&gt;"可计算","待核",K9-R9)</x:f>
        <x:v>0</x:v>
      </x:c>
      <x:c r="T9" s="26" t="n">
        <x:f>IF(E9&lt;&gt;"可计算","待核",MAX(0,F9*(1-G9)-K9))</x:f>
        <x:v>11400</x:v>
      </x:c>
      <x:c r="U9" s="30" t="n">
        <x:f>IF(E9&lt;&gt;"可计算","待核",IF(MIN(O9,DATE(YEAR(政策与口径!$B$7),MONTH(政策与口径!$B$7),1))&lt;N9,0,DATEDIF(N9,MIN(O9,DATE(YEAR(政策与口径!$B$7),MONTH(政策与口径!$B$7),1)),"m")+1))</x:f>
        <x:v>10</x:v>
      </x:c>
      <x:c r="V9" s="26" t="n">
        <x:f>IF(E9&lt;&gt;"可计算","待核",ROUND(MIN(T9,U9*Q9),2))</x:f>
        <x:v>3166.67</x:v>
      </x:c>
      <x:c r="W9" s="25" t="n">
        <x:f>IF(ISBLANK(资产台账!J9),"待录入",IF(ISNUMBER(资产台账!J9),资产台账!J9,"待核金额"))</x:f>
        <x:v>3166.67</x:v>
      </x:c>
      <x:c r="X9" s="27" t="n">
        <x:f>IF(AND(E9="可计算",ISNUMBER(W9)),V9-W9,"待核")</x:f>
        <x:v>0</x:v>
      </x:c>
      <x:c r="Y9" s="32" t="n">
        <x:f>IF(E9&lt;&gt;"可计算","待核",ROUND(MIN(T9,P9*Q9),2))</x:f>
        <x:v>3483.33</x:v>
      </x:c>
      <x:c r="Z9" s="46" t="str">
        <x:f>IF(ISBLANK(资产台账!K9),"待录入",IF(ISNUMBER(资产台账!K9),资产台账!K9,"待核金额"))</x:f>
        <x:v>待录入</x:v>
      </x:c>
      <x:c r="AA9" s="47" t="str">
        <x:f>IF(OR(E9&lt;&gt;"可计算",政策与口径!$B$10&lt;&gt;"终版已确认",NOT(ISNUMBER(Z9))),"待终版",Y9-Z9)</x:f>
        <x:v>待终版</x:v>
      </x:c>
      <x:c r="AB9" s="21" t="str">
        <x:f>IF(E9&lt;&gt;"可计算",E9,IF(ABS(S9)&gt;政策与口径!$B$8,"期初累计差异，先核历史",IF(NOT(ISNUMBER(Z9)),"全年实提待录入",IF(政策与口径!$B$10&lt;&gt;"终版已确认","版本待确认","待梁老师复核"))))</x:f>
        <x:v>全年实提待录入</x:v>
      </x:c>
    </x:row>
    <x:row r="10" ht="25" customHeight="1">
      <x:c r="A10" s="44" t="str">
        <x:f>资产台账!A10</x:f>
        <x:v>0003</x:v>
      </x:c>
      <x:c r="B10" s="22" t="str">
        <x:f>资产台账!B10</x:f>
        <x:v>数控加工设备</x:v>
      </x:c>
      <x:c r="C10" s="22" t="str">
        <x:f>资产台账!C10</x:f>
        <x:v>生产部</x:v>
      </x:c>
      <x:c r="D10" s="22" t="str">
        <x:f>资产台账!D10</x:f>
        <x:v>制造费用</x:v>
      </x:c>
      <x:c r="E10" s="21" t="str">
        <x:f>IF(A10="","待核：编号为空",IF(NOT(ISTEXT(A10)),"待核：编号非文本",IF(COUNTIFS(资产台账!$A$8:$A$26,A10)&lt;&gt;1,"待核：台账编号重复",IF(COUNTIFS(政策与口径!$A$16:$A$33,A10)&lt;&gt;1,"待核：政策缺失或重复",IF(OR(NOT(ISNUMBER(F10)),F10&lt;=0),"待核：原值格式",IF(资产台账!F10&lt;&gt;政策与口径!$B$9,"待核：金额单位",IF(OR(NOT(ISNUMBER(G10)),G10&lt;0,G10&gt;=1),"待核：残值率",IF(NOT(ISNUMBER(H10)),"待核：寿命格式",IF(OR(H10&lt;=0,MOD(H10*12,1)&lt;&gt;0),"待核：寿命",IF(NOT(ISNUMBER(I10)),"待核：可使用日期",IF(AND(J10&lt;&gt;"",OR(NOT(ISNUMBER(J10)),J10&lt;I10)),"待核：处置日期",IF(OR(NOT(ISNUMBER(K10)),K10&lt;0,K10&gt;F10*(1-G10)+政策与口径!$B$8),"待核：期初累计",IF(_xlfn.XLOOKUP(A10,政策与口径!$A$16:$A$33,政策与口径!$E$16:$E$33,"待核：未匹配",0)&lt;&gt;"示例已确认","待核：政策依据",IF(_xlfn.XLOOKUP(A10,政策与口径!$A$16:$A$33,政策与口径!$D$16:$D$33,"待核：未匹配",0)&lt;&gt;"按月直线法","待核：折旧方法","可计算"))))))))))))))</x:f>
        <x:v>可计算</x:v>
      </x:c>
      <x:c r="F10" s="25" t="n">
        <x:f>资产台账!E10</x:f>
        <x:v>240000</x:v>
      </x:c>
      <x:c r="G10" s="28" t="n">
        <x:f>IF(COUNTIFS(政策与口径!$A$16:$A$33,A10)&lt;&gt;1,"待核：政策编号",IF(COUNTIFS(政策与口径!$A$16:$A$33,A10,政策与口径!$B$16:$B$33,"&lt;&gt;")&lt;&gt;1,"待核：参数空白",_xlfn.XLOOKUP(A10,政策与口径!$A$16:$A$33,政策与口径!$B$16:$B$33,"待核：未匹配",0)))</x:f>
        <x:v>0.05</x:v>
      </x:c>
      <x:c r="H10" s="45" t="n">
        <x:f>IF(COUNTIFS(政策与口径!$A$16:$A$33,A10)&lt;&gt;1,"待核：政策编号",IF(COUNTIFS(政策与口径!$A$16:$A$33,A10,政策与口径!$C$16:$C$33,"&lt;&gt;")&lt;&gt;1,"待核：参数空白",_xlfn.XLOOKUP(A10,政策与口径!$A$16:$A$33,政策与口径!$C$16:$C$33,"待核：未匹配",0)))</x:f>
        <x:v>10</x:v>
      </x:c>
      <x:c r="I10" s="23" t="n">
        <x:f>IF(ISBLANK(资产台账!G10),"",资产台账!G10)</x:f>
        <x:v>44265</x:v>
      </x:c>
      <x:c r="J10" s="23" t="str">
        <x:f>IF(ISBLANK(资产台账!H10),"",资产台账!H10)</x:f>
      </x:c>
      <x:c r="K10" s="25" t="n">
        <x:f>IF(ISBLANK(资产台账!I10),"",资产台账!I10)</x:f>
        <x:v>62700</x:v>
      </x:c>
      <x:c r="L10" s="24" t="n">
        <x:f>IF(E10&lt;&gt;"可计算","待核",DATE(YEAR(I10),MONTH(I10)+1,1))</x:f>
        <x:v>44287</x:v>
      </x:c>
      <x:c r="M10" s="24" t="n">
        <x:f>IF(E10&lt;&gt;"可计算","待核",EDATE(L10,H10*12-1))</x:f>
        <x:v>47908</x:v>
      </x:c>
      <x:c r="N10" s="24" t="n">
        <x:f>IF(E10&lt;&gt;"可计算","待核",MAX(L10,DATE(YEAR(政策与口径!$B$5),MONTH(政策与口径!$B$5),1)))</x:f>
        <x:v>45292</x:v>
      </x:c>
      <x:c r="O10" s="24" t="n">
        <x:f>IF(E10&lt;&gt;"可计算","待核",MIN(M10,DATE(YEAR(政策与口径!$B$6),MONTH(政策与口径!$B$6),1),IF(J10="",DATE(YEAR(政策与口径!$B$6),MONTH(政策与口径!$B$6),1),DATE(YEAR(J10),MONTH(J10),1))))</x:f>
        <x:v>45627</x:v>
      </x:c>
      <x:c r="P10" s="30" t="n">
        <x:f>IF(E10&lt;&gt;"可计算","待核",IF(O10&lt;N10,0,DATEDIF(N10,O10,"m")+1))</x:f>
        <x:v>12</x:v>
      </x:c>
      <x:c r="Q10" s="26" t="n">
        <x:f>IF(E10&lt;&gt;"可计算","待核",F10*(1-G10)/(H10*12))</x:f>
        <x:v>1900</x:v>
      </x:c>
      <x:c r="R10" s="26" t="n">
        <x:f>IF(E10&lt;&gt;"可计算","待核",IF(AND(J10&lt;&gt;"",J10&lt;政策与口径!$B$5),0,IF(L10&gt;EDATE(DATE(YEAR(政策与口径!$B$5),MONTH(政策与口径!$B$5),1),-1),0,ROUND(MIN(F10*(1-G10),Q10*(DATEDIF(L10,EDATE(DATE(YEAR(政策与口径!$B$5),MONTH(政策与口径!$B$5),1),-1),"m")+1)),2))))</x:f>
        <x:v>62700</x:v>
      </x:c>
      <x:c r="S10" s="27" t="n">
        <x:f>IF(E10&lt;&gt;"可计算","待核",K10-R10)</x:f>
        <x:v>0</x:v>
      </x:c>
      <x:c r="T10" s="26" t="n">
        <x:f>IF(E10&lt;&gt;"可计算","待核",MAX(0,F10*(1-G10)-K10))</x:f>
        <x:v>165300</x:v>
      </x:c>
      <x:c r="U10" s="30" t="n">
        <x:f>IF(E10&lt;&gt;"可计算","待核",IF(MIN(O10,DATE(YEAR(政策与口径!$B$7),MONTH(政策与口径!$B$7),1))&lt;N10,0,DATEDIF(N10,MIN(O10,DATE(YEAR(政策与口径!$B$7),MONTH(政策与口径!$B$7),1)),"m")+1))</x:f>
        <x:v>11</x:v>
      </x:c>
      <x:c r="V10" s="26" t="n">
        <x:f>IF(E10&lt;&gt;"可计算","待核",ROUND(MIN(T10,U10*Q10),2))</x:f>
        <x:v>20900</x:v>
      </x:c>
      <x:c r="W10" s="25" t="n">
        <x:f>IF(ISBLANK(资产台账!J10),"待录入",IF(ISNUMBER(资产台账!J10),资产台账!J10,"待核金额"))</x:f>
        <x:v>20900</x:v>
      </x:c>
      <x:c r="X10" s="27" t="n">
        <x:f>IF(AND(E10="可计算",ISNUMBER(W10)),V10-W10,"待核")</x:f>
        <x:v>0</x:v>
      </x:c>
      <x:c r="Y10" s="32" t="n">
        <x:f>IF(E10&lt;&gt;"可计算","待核",ROUND(MIN(T10,P10*Q10),2))</x:f>
        <x:v>22800</x:v>
      </x:c>
      <x:c r="Z10" s="46" t="str">
        <x:f>IF(ISBLANK(资产台账!K10),"待录入",IF(ISNUMBER(资产台账!K10),资产台账!K10,"待核金额"))</x:f>
        <x:v>待录入</x:v>
      </x:c>
      <x:c r="AA10" s="47" t="str">
        <x:f>IF(OR(E10&lt;&gt;"可计算",政策与口径!$B$10&lt;&gt;"终版已确认",NOT(ISNUMBER(Z10))),"待终版",Y10-Z10)</x:f>
        <x:v>待终版</x:v>
      </x:c>
      <x:c r="AB10" s="21" t="str">
        <x:f>IF(E10&lt;&gt;"可计算",E10,IF(ABS(S10)&gt;政策与口径!$B$8,"期初累计差异，先核历史",IF(NOT(ISNUMBER(Z10)),"全年实提待录入",IF(政策与口径!$B$10&lt;&gt;"终版已确认","版本待确认","待梁老师复核"))))</x:f>
        <x:v>全年实提待录入</x:v>
      </x:c>
    </x:row>
    <x:row r="11" ht="25" customHeight="1">
      <x:c r="A11" s="44" t="str">
        <x:f>资产台账!A11</x:f>
        <x:v>0004</x:v>
      </x:c>
      <x:c r="B11" s="22" t="str">
        <x:f>资产台账!B11</x:f>
        <x:v>已提足老机器</x:v>
      </x:c>
      <x:c r="C11" s="22" t="str">
        <x:f>资产台账!C11</x:f>
        <x:v>生产部</x:v>
      </x:c>
      <x:c r="D11" s="22" t="str">
        <x:f>资产台账!D11</x:f>
        <x:v>制造费用</x:v>
      </x:c>
      <x:c r="E11" s="21" t="str">
        <x:f>IF(A11="","待核：编号为空",IF(NOT(ISTEXT(A11)),"待核：编号非文本",IF(COUNTIFS(资产台账!$A$8:$A$26,A11)&lt;&gt;1,"待核：台账编号重复",IF(COUNTIFS(政策与口径!$A$16:$A$33,A11)&lt;&gt;1,"待核：政策缺失或重复",IF(OR(NOT(ISNUMBER(F11)),F11&lt;=0),"待核：原值格式",IF(资产台账!F11&lt;&gt;政策与口径!$B$9,"待核：金额单位",IF(OR(NOT(ISNUMBER(G11)),G11&lt;0,G11&gt;=1),"待核：残值率",IF(NOT(ISNUMBER(H11)),"待核：寿命格式",IF(OR(H11&lt;=0,MOD(H11*12,1)&lt;&gt;0),"待核：寿命",IF(NOT(ISNUMBER(I11)),"待核：可使用日期",IF(AND(J11&lt;&gt;"",OR(NOT(ISNUMBER(J11)),J11&lt;I11)),"待核：处置日期",IF(OR(NOT(ISNUMBER(K11)),K11&lt;0,K11&gt;F11*(1-G11)+政策与口径!$B$8),"待核：期初累计",IF(_xlfn.XLOOKUP(A11,政策与口径!$A$16:$A$33,政策与口径!$E$16:$E$33,"待核：未匹配",0)&lt;&gt;"示例已确认","待核：政策依据",IF(_xlfn.XLOOKUP(A11,政策与口径!$A$16:$A$33,政策与口径!$D$16:$D$33,"待核：未匹配",0)&lt;&gt;"按月直线法","待核：折旧方法","可计算"))))))))))))))</x:f>
        <x:v>可计算</x:v>
      </x:c>
      <x:c r="F11" s="25" t="n">
        <x:f>资产台账!E11</x:f>
        <x:v>60000</x:v>
      </x:c>
      <x:c r="G11" s="28" t="n">
        <x:f>IF(COUNTIFS(政策与口径!$A$16:$A$33,A11)&lt;&gt;1,"待核：政策编号",IF(COUNTIFS(政策与口径!$A$16:$A$33,A11,政策与口径!$B$16:$B$33,"&lt;&gt;")&lt;&gt;1,"待核：参数空白",_xlfn.XLOOKUP(A11,政策与口径!$A$16:$A$33,政策与口径!$B$16:$B$33,"待核：未匹配",0)))</x:f>
        <x:v>0.05</x:v>
      </x:c>
      <x:c r="H11" s="45" t="n">
        <x:f>IF(COUNTIFS(政策与口径!$A$16:$A$33,A11)&lt;&gt;1,"待核：政策编号",IF(COUNTIFS(政策与口径!$A$16:$A$33,A11,政策与口径!$C$16:$C$33,"&lt;&gt;")&lt;&gt;1,"待核：参数空白",_xlfn.XLOOKUP(A11,政策与口径!$A$16:$A$33,政策与口径!$C$16:$C$33,"待核：未匹配",0)))</x:f>
        <x:v>5</x:v>
      </x:c>
      <x:c r="I11" s="23" t="n">
        <x:f>IF(ISBLANK(资产台账!G11),"",资产台账!G11)</x:f>
        <x:v>43434</x:v>
      </x:c>
      <x:c r="J11" s="23" t="str">
        <x:f>IF(ISBLANK(资产台账!H11),"",资产台账!H11)</x:f>
      </x:c>
      <x:c r="K11" s="25" t="n">
        <x:f>IF(ISBLANK(资产台账!I11),"",资产台账!I11)</x:f>
        <x:v>57000</x:v>
      </x:c>
      <x:c r="L11" s="24" t="n">
        <x:f>IF(E11&lt;&gt;"可计算","待核",DATE(YEAR(I11),MONTH(I11)+1,1))</x:f>
        <x:v>43435</x:v>
      </x:c>
      <x:c r="M11" s="24" t="n">
        <x:f>IF(E11&lt;&gt;"可计算","待核",EDATE(L11,H11*12-1))</x:f>
        <x:v>45231</x:v>
      </x:c>
      <x:c r="N11" s="24" t="n">
        <x:f>IF(E11&lt;&gt;"可计算","待核",MAX(L11,DATE(YEAR(政策与口径!$B$5),MONTH(政策与口径!$B$5),1)))</x:f>
        <x:v>45292</x:v>
      </x:c>
      <x:c r="O11" s="24" t="n">
        <x:f>IF(E11&lt;&gt;"可计算","待核",MIN(M11,DATE(YEAR(政策与口径!$B$6),MONTH(政策与口径!$B$6),1),IF(J11="",DATE(YEAR(政策与口径!$B$6),MONTH(政策与口径!$B$6),1),DATE(YEAR(J11),MONTH(J11),1))))</x:f>
        <x:v>45231</x:v>
      </x:c>
      <x:c r="P11" s="30" t="n">
        <x:f>IF(E11&lt;&gt;"可计算","待核",IF(O11&lt;N11,0,DATEDIF(N11,O11,"m")+1))</x:f>
        <x:v>0</x:v>
      </x:c>
      <x:c r="Q11" s="26" t="n">
        <x:f>IF(E11&lt;&gt;"可计算","待核",F11*(1-G11)/(H11*12))</x:f>
        <x:v>950</x:v>
      </x:c>
      <x:c r="R11" s="26" t="n">
        <x:f>IF(E11&lt;&gt;"可计算","待核",IF(AND(J11&lt;&gt;"",J11&lt;政策与口径!$B$5),0,IF(L11&gt;EDATE(DATE(YEAR(政策与口径!$B$5),MONTH(政策与口径!$B$5),1),-1),0,ROUND(MIN(F11*(1-G11),Q11*(DATEDIF(L11,EDATE(DATE(YEAR(政策与口径!$B$5),MONTH(政策与口径!$B$5),1),-1),"m")+1)),2))))</x:f>
        <x:v>57000</x:v>
      </x:c>
      <x:c r="S11" s="27" t="n">
        <x:f>IF(E11&lt;&gt;"可计算","待核",K11-R11)</x:f>
        <x:v>0</x:v>
      </x:c>
      <x:c r="T11" s="26" t="n">
        <x:f>IF(E11&lt;&gt;"可计算","待核",MAX(0,F11*(1-G11)-K11))</x:f>
        <x:v>0</x:v>
      </x:c>
      <x:c r="U11" s="30" t="n">
        <x:f>IF(E11&lt;&gt;"可计算","待核",IF(MIN(O11,DATE(YEAR(政策与口径!$B$7),MONTH(政策与口径!$B$7),1))&lt;N11,0,DATEDIF(N11,MIN(O11,DATE(YEAR(政策与口径!$B$7),MONTH(政策与口径!$B$7),1)),"m")+1))</x:f>
        <x:v>0</x:v>
      </x:c>
      <x:c r="V11" s="26" t="n">
        <x:f>IF(E11&lt;&gt;"可计算","待核",ROUND(MIN(T11,U11*Q11),2))</x:f>
        <x:v>0</x:v>
      </x:c>
      <x:c r="W11" s="25" t="n">
        <x:f>IF(ISBLANK(资产台账!J11),"待录入",IF(ISNUMBER(资产台账!J11),资产台账!J11,"待核金额"))</x:f>
        <x:v>0</x:v>
      </x:c>
      <x:c r="X11" s="27" t="n">
        <x:f>IF(AND(E11="可计算",ISNUMBER(W11)),V11-W11,"待核")</x:f>
        <x:v>0</x:v>
      </x:c>
      <x:c r="Y11" s="32" t="n">
        <x:f>IF(E11&lt;&gt;"可计算","待核",ROUND(MIN(T11,P11*Q11),2))</x:f>
        <x:v>0</x:v>
      </x:c>
      <x:c r="Z11" s="46" t="str">
        <x:f>IF(ISBLANK(资产台账!K11),"待录入",IF(ISNUMBER(资产台账!K11),资产台账!K11,"待核金额"))</x:f>
        <x:v>待录入</x:v>
      </x:c>
      <x:c r="AA11" s="47" t="str">
        <x:f>IF(OR(E11&lt;&gt;"可计算",政策与口径!$B$10&lt;&gt;"终版已确认",NOT(ISNUMBER(Z11))),"待终版",Y11-Z11)</x:f>
        <x:v>待终版</x:v>
      </x:c>
      <x:c r="AB11" s="21" t="str">
        <x:f>IF(E11&lt;&gt;"可计算",E11,IF(ABS(S11)&gt;政策与口径!$B$8,"期初累计差异，先核历史",IF(NOT(ISNUMBER(Z11)),"全年实提待录入",IF(政策与口径!$B$10&lt;&gt;"终版已确认","版本待确认","待梁老师复核"))))</x:f>
        <x:v>全年实提待录入</x:v>
      </x:c>
    </x:row>
    <x:row r="12" ht="25" customHeight="1">
      <x:c r="A12" s="44" t="str">
        <x:f>资产台账!A12</x:f>
        <x:v>0005</x:v>
      </x:c>
      <x:c r="B12" s="22" t="str">
        <x:f>资产台账!B12</x:f>
        <x:v>十二月新设备</x:v>
      </x:c>
      <x:c r="C12" s="22" t="str">
        <x:f>资产台账!C12</x:f>
        <x:v>研发部</x:v>
      </x:c>
      <x:c r="D12" s="22" t="str">
        <x:f>资产台账!D12</x:f>
        <x:v>研发费用</x:v>
      </x:c>
      <x:c r="E12" s="21" t="str">
        <x:f>IF(A12="","待核：编号为空",IF(NOT(ISTEXT(A12)),"待核：编号非文本",IF(COUNTIFS(资产台账!$A$8:$A$26,A12)&lt;&gt;1,"待核：台账编号重复",IF(COUNTIFS(政策与口径!$A$16:$A$33,A12)&lt;&gt;1,"待核：政策缺失或重复",IF(OR(NOT(ISNUMBER(F12)),F12&lt;=0),"待核：原值格式",IF(资产台账!F12&lt;&gt;政策与口径!$B$9,"待核：金额单位",IF(OR(NOT(ISNUMBER(G12)),G12&lt;0,G12&gt;=1),"待核：残值率",IF(NOT(ISNUMBER(H12)),"待核：寿命格式",IF(OR(H12&lt;=0,MOD(H12*12,1)&lt;&gt;0),"待核：寿命",IF(NOT(ISNUMBER(I12)),"待核：可使用日期",IF(AND(J12&lt;&gt;"",OR(NOT(ISNUMBER(J12)),J12&lt;I12)),"待核：处置日期",IF(OR(NOT(ISNUMBER(K12)),K12&lt;0,K12&gt;F12*(1-G12)+政策与口径!$B$8),"待核：期初累计",IF(_xlfn.XLOOKUP(A12,政策与口径!$A$16:$A$33,政策与口径!$E$16:$E$33,"待核：未匹配",0)&lt;&gt;"示例已确认","待核：政策依据",IF(_xlfn.XLOOKUP(A12,政策与口径!$A$16:$A$33,政策与口径!$D$16:$D$33,"待核：未匹配",0)&lt;&gt;"按月直线法","待核：折旧方法","可计算"))))))))))))))</x:f>
        <x:v>可计算</x:v>
      </x:c>
      <x:c r="F12" s="25" t="n">
        <x:f>资产台账!E12</x:f>
        <x:v>120000</x:v>
      </x:c>
      <x:c r="G12" s="28" t="n">
        <x:f>IF(COUNTIFS(政策与口径!$A$16:$A$33,A12)&lt;&gt;1,"待核：政策编号",IF(COUNTIFS(政策与口径!$A$16:$A$33,A12,政策与口径!$B$16:$B$33,"&lt;&gt;")&lt;&gt;1,"待核：参数空白",_xlfn.XLOOKUP(A12,政策与口径!$A$16:$A$33,政策与口径!$B$16:$B$33,"待核：未匹配",0)))</x:f>
        <x:v>0.05</x:v>
      </x:c>
      <x:c r="H12" s="45" t="n">
        <x:f>IF(COUNTIFS(政策与口径!$A$16:$A$33,A12)&lt;&gt;1,"待核：政策编号",IF(COUNTIFS(政策与口径!$A$16:$A$33,A12,政策与口径!$C$16:$C$33,"&lt;&gt;")&lt;&gt;1,"待核：参数空白",_xlfn.XLOOKUP(A12,政策与口径!$A$16:$A$33,政策与口径!$C$16:$C$33,"待核：未匹配",0)))</x:f>
        <x:v>5</x:v>
      </x:c>
      <x:c r="I12" s="23" t="n">
        <x:f>IF(ISBLANK(资产台账!G12),"",资产台账!G12)</x:f>
        <x:v>45646</x:v>
      </x:c>
      <x:c r="J12" s="23" t="str">
        <x:f>IF(ISBLANK(资产台账!H12),"",资产台账!H12)</x:f>
      </x:c>
      <x:c r="K12" s="25" t="n">
        <x:f>IF(ISBLANK(资产台账!I12),"",资产台账!I12)</x:f>
        <x:v>0</x:v>
      </x:c>
      <x:c r="L12" s="24" t="n">
        <x:f>IF(E12&lt;&gt;"可计算","待核",DATE(YEAR(I12),MONTH(I12)+1,1))</x:f>
        <x:v>45658</x:v>
      </x:c>
      <x:c r="M12" s="24" t="n">
        <x:f>IF(E12&lt;&gt;"可计算","待核",EDATE(L12,H12*12-1))</x:f>
        <x:v>47453</x:v>
      </x:c>
      <x:c r="N12" s="24" t="n">
        <x:f>IF(E12&lt;&gt;"可计算","待核",MAX(L12,DATE(YEAR(政策与口径!$B$5),MONTH(政策与口径!$B$5),1)))</x:f>
        <x:v>45658</x:v>
      </x:c>
      <x:c r="O12" s="24" t="n">
        <x:f>IF(E12&lt;&gt;"可计算","待核",MIN(M12,DATE(YEAR(政策与口径!$B$6),MONTH(政策与口径!$B$6),1),IF(J12="",DATE(YEAR(政策与口径!$B$6),MONTH(政策与口径!$B$6),1),DATE(YEAR(J12),MONTH(J12),1))))</x:f>
        <x:v>45627</x:v>
      </x:c>
      <x:c r="P12" s="30" t="n">
        <x:f>IF(E12&lt;&gt;"可计算","待核",IF(O12&lt;N12,0,DATEDIF(N12,O12,"m")+1))</x:f>
        <x:v>0</x:v>
      </x:c>
      <x:c r="Q12" s="26" t="n">
        <x:f>IF(E12&lt;&gt;"可计算","待核",F12*(1-G12)/(H12*12))</x:f>
        <x:v>1900</x:v>
      </x:c>
      <x:c r="R12" s="26" t="n">
        <x:f>IF(E12&lt;&gt;"可计算","待核",IF(AND(J12&lt;&gt;"",J12&lt;政策与口径!$B$5),0,IF(L12&gt;EDATE(DATE(YEAR(政策与口径!$B$5),MONTH(政策与口径!$B$5),1),-1),0,ROUND(MIN(F12*(1-G12),Q12*(DATEDIF(L12,EDATE(DATE(YEAR(政策与口径!$B$5),MONTH(政策与口径!$B$5),1),-1),"m")+1)),2))))</x:f>
        <x:v>0</x:v>
      </x:c>
      <x:c r="S12" s="27" t="n">
        <x:f>IF(E12&lt;&gt;"可计算","待核",K12-R12)</x:f>
        <x:v>0</x:v>
      </x:c>
      <x:c r="T12" s="26" t="n">
        <x:f>IF(E12&lt;&gt;"可计算","待核",MAX(0,F12*(1-G12)-K12))</x:f>
        <x:v>114000</x:v>
      </x:c>
      <x:c r="U12" s="30" t="n">
        <x:f>IF(E12&lt;&gt;"可计算","待核",IF(MIN(O12,DATE(YEAR(政策与口径!$B$7),MONTH(政策与口径!$B$7),1))&lt;N12,0,DATEDIF(N12,MIN(O12,DATE(YEAR(政策与口径!$B$7),MONTH(政策与口径!$B$7),1)),"m")+1))</x:f>
        <x:v>0</x:v>
      </x:c>
      <x:c r="V12" s="26" t="n">
        <x:f>IF(E12&lt;&gt;"可计算","待核",ROUND(MIN(T12,U12*Q12),2))</x:f>
        <x:v>0</x:v>
      </x:c>
      <x:c r="W12" s="25" t="n">
        <x:f>IF(ISBLANK(资产台账!J12),"待录入",IF(ISNUMBER(资产台账!J12),资产台账!J12,"待核金额"))</x:f>
        <x:v>0</x:v>
      </x:c>
      <x:c r="X12" s="27" t="n">
        <x:f>IF(AND(E12="可计算",ISNUMBER(W12)),V12-W12,"待核")</x:f>
        <x:v>0</x:v>
      </x:c>
      <x:c r="Y12" s="32" t="n">
        <x:f>IF(E12&lt;&gt;"可计算","待核",ROUND(MIN(T12,P12*Q12),2))</x:f>
        <x:v>0</x:v>
      </x:c>
      <x:c r="Z12" s="46" t="str">
        <x:f>IF(ISBLANK(资产台账!K12),"待录入",IF(ISNUMBER(资产台账!K12),资产台账!K12,"待核金额"))</x:f>
        <x:v>待录入</x:v>
      </x:c>
      <x:c r="AA12" s="47" t="str">
        <x:f>IF(OR(E12&lt;&gt;"可计算",政策与口径!$B$10&lt;&gt;"终版已确认",NOT(ISNUMBER(Z12))),"待终版",Y12-Z12)</x:f>
        <x:v>待终版</x:v>
      </x:c>
      <x:c r="AB12" s="21" t="str">
        <x:f>IF(E12&lt;&gt;"可计算",E12,IF(ABS(S12)&gt;政策与口径!$B$8,"期初累计差异，先核历史",IF(NOT(ISNUMBER(Z12)),"全年实提待录入",IF(政策与口径!$B$10&lt;&gt;"终版已确认","版本待确认","待梁老师复核"))))</x:f>
        <x:v>全年实提待录入</x:v>
      </x:c>
    </x:row>
    <x:row r="13" ht="25" customHeight="1">
      <x:c r="A13" s="44" t="str">
        <x:f>资产台账!A13</x:f>
        <x:v>0006</x:v>
      </x:c>
      <x:c r="B13" s="22" t="str">
        <x:f>资产台账!B13</x:f>
        <x:v>寿命到期电脑</x:v>
      </x:c>
      <x:c r="C13" s="22" t="str">
        <x:f>资产台账!C13</x:f>
        <x:v>行政部</x:v>
      </x:c>
      <x:c r="D13" s="22" t="str">
        <x:f>资产台账!D13</x:f>
        <x:v>管理费用</x:v>
      </x:c>
      <x:c r="E13" s="21" t="str">
        <x:f>IF(A13="","待核：编号为空",IF(NOT(ISTEXT(A13)),"待核：编号非文本",IF(COUNTIFS(资产台账!$A$8:$A$26,A13)&lt;&gt;1,"待核：台账编号重复",IF(COUNTIFS(政策与口径!$A$16:$A$33,A13)&lt;&gt;1,"待核：政策缺失或重复",IF(OR(NOT(ISNUMBER(F13)),F13&lt;=0),"待核：原值格式",IF(资产台账!F13&lt;&gt;政策与口径!$B$9,"待核：金额单位",IF(OR(NOT(ISNUMBER(G13)),G13&lt;0,G13&gt;=1),"待核：残值率",IF(NOT(ISNUMBER(H13)),"待核：寿命格式",IF(OR(H13&lt;=0,MOD(H13*12,1)&lt;&gt;0),"待核：寿命",IF(NOT(ISNUMBER(I13)),"待核：可使用日期",IF(AND(J13&lt;&gt;"",OR(NOT(ISNUMBER(J13)),J13&lt;I13)),"待核：处置日期",IF(OR(NOT(ISNUMBER(K13)),K13&lt;0,K13&gt;F13*(1-G13)+政策与口径!$B$8),"待核：期初累计",IF(_xlfn.XLOOKUP(A13,政策与口径!$A$16:$A$33,政策与口径!$E$16:$E$33,"待核：未匹配",0)&lt;&gt;"示例已确认","待核：政策依据",IF(_xlfn.XLOOKUP(A13,政策与口径!$A$16:$A$33,政策与口径!$D$16:$D$33,"待核：未匹配",0)&lt;&gt;"按月直线法","待核：折旧方法","可计算"))))))))))))))</x:f>
        <x:v>可计算</x:v>
      </x:c>
      <x:c r="F13" s="25" t="n">
        <x:f>资产台账!E13</x:f>
        <x:v>12000</x:v>
      </x:c>
      <x:c r="G13" s="28" t="n">
        <x:f>IF(COUNTIFS(政策与口径!$A$16:$A$33,A13)&lt;&gt;1,"待核：政策编号",IF(COUNTIFS(政策与口径!$A$16:$A$33,A13,政策与口径!$B$16:$B$33,"&lt;&gt;")&lt;&gt;1,"待核：参数空白",_xlfn.XLOOKUP(A13,政策与口径!$A$16:$A$33,政策与口径!$B$16:$B$33,"待核：未匹配",0)))</x:f>
        <x:v>0</x:v>
      </x:c>
      <x:c r="H13" s="45" t="n">
        <x:f>IF(COUNTIFS(政策与口径!$A$16:$A$33,A13)&lt;&gt;1,"待核：政策编号",IF(COUNTIFS(政策与口径!$A$16:$A$33,A13,政策与口径!$C$16:$C$33,"&lt;&gt;")&lt;&gt;1,"待核：参数空白",_xlfn.XLOOKUP(A13,政策与口径!$A$16:$A$33,政策与口径!$C$16:$C$33,"待核：未匹配",0)))</x:f>
        <x:v>2</x:v>
      </x:c>
      <x:c r="I13" s="23" t="n">
        <x:f>IF(ISBLANK(资产台账!G13),"",资产台账!G13)</x:f>
        <x:v>44846</x:v>
      </x:c>
      <x:c r="J13" s="23" t="str">
        <x:f>IF(ISBLANK(资产台账!H13),"",资产台账!H13)</x:f>
      </x:c>
      <x:c r="K13" s="25" t="n">
        <x:f>IF(ISBLANK(资产台账!I13),"",资产台账!I13)</x:f>
        <x:v>7000</x:v>
      </x:c>
      <x:c r="L13" s="24" t="n">
        <x:f>IF(E13&lt;&gt;"可计算","待核",DATE(YEAR(I13),MONTH(I13)+1,1))</x:f>
        <x:v>44866</x:v>
      </x:c>
      <x:c r="M13" s="24" t="n">
        <x:f>IF(E13&lt;&gt;"可计算","待核",EDATE(L13,H13*12-1))</x:f>
        <x:v>45566</x:v>
      </x:c>
      <x:c r="N13" s="24" t="n">
        <x:f>IF(E13&lt;&gt;"可计算","待核",MAX(L13,DATE(YEAR(政策与口径!$B$5),MONTH(政策与口径!$B$5),1)))</x:f>
        <x:v>45292</x:v>
      </x:c>
      <x:c r="O13" s="24" t="n">
        <x:f>IF(E13&lt;&gt;"可计算","待核",MIN(M13,DATE(YEAR(政策与口径!$B$6),MONTH(政策与口径!$B$6),1),IF(J13="",DATE(YEAR(政策与口径!$B$6),MONTH(政策与口径!$B$6),1),DATE(YEAR(J13),MONTH(J13),1))))</x:f>
        <x:v>45566</x:v>
      </x:c>
      <x:c r="P13" s="30" t="n">
        <x:f>IF(E13&lt;&gt;"可计算","待核",IF(O13&lt;N13,0,DATEDIF(N13,O13,"m")+1))</x:f>
        <x:v>10</x:v>
      </x:c>
      <x:c r="Q13" s="26" t="n">
        <x:f>IF(E13&lt;&gt;"可计算","待核",F13*(1-G13)/(H13*12))</x:f>
        <x:v>500</x:v>
      </x:c>
      <x:c r="R13" s="26" t="n">
        <x:f>IF(E13&lt;&gt;"可计算","待核",IF(AND(J13&lt;&gt;"",J13&lt;政策与口径!$B$5),0,IF(L13&gt;EDATE(DATE(YEAR(政策与口径!$B$5),MONTH(政策与口径!$B$5),1),-1),0,ROUND(MIN(F13*(1-G13),Q13*(DATEDIF(L13,EDATE(DATE(YEAR(政策与口径!$B$5),MONTH(政策与口径!$B$5),1),-1),"m")+1)),2))))</x:f>
        <x:v>7000</x:v>
      </x:c>
      <x:c r="S13" s="27" t="n">
        <x:f>IF(E13&lt;&gt;"可计算","待核",K13-R13)</x:f>
        <x:v>0</x:v>
      </x:c>
      <x:c r="T13" s="26" t="n">
        <x:f>IF(E13&lt;&gt;"可计算","待核",MAX(0,F13*(1-G13)-K13))</x:f>
        <x:v>5000</x:v>
      </x:c>
      <x:c r="U13" s="30" t="n">
        <x:f>IF(E13&lt;&gt;"可计算","待核",IF(MIN(O13,DATE(YEAR(政策与口径!$B$7),MONTH(政策与口径!$B$7),1))&lt;N13,0,DATEDIF(N13,MIN(O13,DATE(YEAR(政策与口径!$B$7),MONTH(政策与口径!$B$7),1)),"m")+1))</x:f>
        <x:v>10</x:v>
      </x:c>
      <x:c r="V13" s="26" t="n">
        <x:f>IF(E13&lt;&gt;"可计算","待核",ROUND(MIN(T13,U13*Q13),2))</x:f>
        <x:v>5000</x:v>
      </x:c>
      <x:c r="W13" s="25" t="n">
        <x:f>IF(ISBLANK(资产台账!J13),"待录入",IF(ISNUMBER(资产台账!J13),资产台账!J13,"待核金额"))</x:f>
        <x:v>5000</x:v>
      </x:c>
      <x:c r="X13" s="27" t="n">
        <x:f>IF(AND(E13="可计算",ISNUMBER(W13)),V13-W13,"待核")</x:f>
        <x:v>0</x:v>
      </x:c>
      <x:c r="Y13" s="32" t="n">
        <x:f>IF(E13&lt;&gt;"可计算","待核",ROUND(MIN(T13,P13*Q13),2))</x:f>
        <x:v>5000</x:v>
      </x:c>
      <x:c r="Z13" s="46" t="str">
        <x:f>IF(ISBLANK(资产台账!K13),"待录入",IF(ISNUMBER(资产台账!K13),资产台账!K13,"待核金额"))</x:f>
        <x:v>待录入</x:v>
      </x:c>
      <x:c r="AA13" s="47" t="str">
        <x:f>IF(OR(E13&lt;&gt;"可计算",政策与口径!$B$10&lt;&gt;"终版已确认",NOT(ISNUMBER(Z13))),"待终版",Y13-Z13)</x:f>
        <x:v>待终版</x:v>
      </x:c>
      <x:c r="AB13" s="21" t="str">
        <x:f>IF(E13&lt;&gt;"可计算",E13,IF(ABS(S13)&gt;政策与口径!$B$8,"期初累计差异，先核历史",IF(NOT(ISNUMBER(Z13)),"全年实提待录入",IF(政策与口径!$B$10&lt;&gt;"终版已确认","版本待确认","待梁老师复核"))))</x:f>
        <x:v>全年实提待录入</x:v>
      </x:c>
    </x:row>
    <x:row r="14" ht="25" customHeight="1">
      <x:c r="A14" s="44" t="str">
        <x:f>资产台账!A14</x:f>
        <x:v>0007</x:v>
      </x:c>
      <x:c r="B14" s="22" t="str">
        <x:f>资产台账!B14</x:f>
        <x:v>五月处置打印机</x:v>
      </x:c>
      <x:c r="C14" s="22" t="str">
        <x:f>资产台账!C14</x:f>
        <x:v>行政部</x:v>
      </x:c>
      <x:c r="D14" s="22" t="str">
        <x:f>资产台账!D14</x:f>
        <x:v>管理费用</x:v>
      </x:c>
      <x:c r="E14" s="21" t="str">
        <x:f>IF(A14="","待核：编号为空",IF(NOT(ISTEXT(A14)),"待核：编号非文本",IF(COUNTIFS(资产台账!$A$8:$A$26,A14)&lt;&gt;1,"待核：台账编号重复",IF(COUNTIFS(政策与口径!$A$16:$A$33,A14)&lt;&gt;1,"待核：政策缺失或重复",IF(OR(NOT(ISNUMBER(F14)),F14&lt;=0),"待核：原值格式",IF(资产台账!F14&lt;&gt;政策与口径!$B$9,"待核：金额单位",IF(OR(NOT(ISNUMBER(G14)),G14&lt;0,G14&gt;=1),"待核：残值率",IF(NOT(ISNUMBER(H14)),"待核：寿命格式",IF(OR(H14&lt;=0,MOD(H14*12,1)&lt;&gt;0),"待核：寿命",IF(NOT(ISNUMBER(I14)),"待核：可使用日期",IF(AND(J14&lt;&gt;"",OR(NOT(ISNUMBER(J14)),J14&lt;I14)),"待核：处置日期",IF(OR(NOT(ISNUMBER(K14)),K14&lt;0,K14&gt;F14*(1-G14)+政策与口径!$B$8),"待核：期初累计",IF(_xlfn.XLOOKUP(A14,政策与口径!$A$16:$A$33,政策与口径!$E$16:$E$33,"待核：未匹配",0)&lt;&gt;"示例已确认","待核：政策依据",IF(_xlfn.XLOOKUP(A14,政策与口径!$A$16:$A$33,政策与口径!$D$16:$D$33,"待核：未匹配",0)&lt;&gt;"按月直线法","待核：折旧方法","可计算"))))))))))))))</x:f>
        <x:v>可计算</x:v>
      </x:c>
      <x:c r="F14" s="25" t="n">
        <x:f>资产台账!E14</x:f>
        <x:v>24000</x:v>
      </x:c>
      <x:c r="G14" s="28" t="n">
        <x:f>IF(COUNTIFS(政策与口径!$A$16:$A$33,A14)&lt;&gt;1,"待核：政策编号",IF(COUNTIFS(政策与口径!$A$16:$A$33,A14,政策与口径!$B$16:$B$33,"&lt;&gt;")&lt;&gt;1,"待核：参数空白",_xlfn.XLOOKUP(A14,政策与口径!$A$16:$A$33,政策与口径!$B$16:$B$33,"待核：未匹配",0)))</x:f>
        <x:v>0.05</x:v>
      </x:c>
      <x:c r="H14" s="45" t="n">
        <x:f>IF(COUNTIFS(政策与口径!$A$16:$A$33,A14)&lt;&gt;1,"待核：政策编号",IF(COUNTIFS(政策与口径!$A$16:$A$33,A14,政策与口径!$C$16:$C$33,"&lt;&gt;")&lt;&gt;1,"待核：参数空白",_xlfn.XLOOKUP(A14,政策与口径!$A$16:$A$33,政策与口径!$C$16:$C$33,"待核：未匹配",0)))</x:f>
        <x:v>5</x:v>
      </x:c>
      <x:c r="I14" s="23" t="n">
        <x:f>IF(ISBLANK(资产台账!G14),"",资产台账!G14)</x:f>
        <x:v>44774</x:v>
      </x:c>
      <x:c r="J14" s="23" t="n">
        <x:f>IF(ISBLANK(资产台账!H14),"",资产台账!H14)</x:f>
        <x:v>45429</x:v>
      </x:c>
      <x:c r="K14" s="25" t="n">
        <x:f>IF(ISBLANK(资产台账!I14),"",资产台账!I14)</x:f>
        <x:v>6080</x:v>
      </x:c>
      <x:c r="L14" s="24" t="n">
        <x:f>IF(E14&lt;&gt;"可计算","待核",DATE(YEAR(I14),MONTH(I14)+1,1))</x:f>
        <x:v>44805</x:v>
      </x:c>
      <x:c r="M14" s="24" t="n">
        <x:f>IF(E14&lt;&gt;"可计算","待核",EDATE(L14,H14*12-1))</x:f>
        <x:v>46600</x:v>
      </x:c>
      <x:c r="N14" s="24" t="n">
        <x:f>IF(E14&lt;&gt;"可计算","待核",MAX(L14,DATE(YEAR(政策与口径!$B$5),MONTH(政策与口径!$B$5),1)))</x:f>
        <x:v>45292</x:v>
      </x:c>
      <x:c r="O14" s="24" t="n">
        <x:f>IF(E14&lt;&gt;"可计算","待核",MIN(M14,DATE(YEAR(政策与口径!$B$6),MONTH(政策与口径!$B$6),1),IF(J14="",DATE(YEAR(政策与口径!$B$6),MONTH(政策与口径!$B$6),1),DATE(YEAR(J14),MONTH(J14),1))))</x:f>
        <x:v>45413</x:v>
      </x:c>
      <x:c r="P14" s="30" t="n">
        <x:f>IF(E14&lt;&gt;"可计算","待核",IF(O14&lt;N14,0,DATEDIF(N14,O14,"m")+1))</x:f>
        <x:v>5</x:v>
      </x:c>
      <x:c r="Q14" s="26" t="n">
        <x:f>IF(E14&lt;&gt;"可计算","待核",F14*(1-G14)/(H14*12))</x:f>
        <x:v>380</x:v>
      </x:c>
      <x:c r="R14" s="26" t="n">
        <x:f>IF(E14&lt;&gt;"可计算","待核",IF(AND(J14&lt;&gt;"",J14&lt;政策与口径!$B$5),0,IF(L14&gt;EDATE(DATE(YEAR(政策与口径!$B$5),MONTH(政策与口径!$B$5),1),-1),0,ROUND(MIN(F14*(1-G14),Q14*(DATEDIF(L14,EDATE(DATE(YEAR(政策与口径!$B$5),MONTH(政策与口径!$B$5),1),-1),"m")+1)),2))))</x:f>
        <x:v>6080</x:v>
      </x:c>
      <x:c r="S14" s="27" t="n">
        <x:f>IF(E14&lt;&gt;"可计算","待核",K14-R14)</x:f>
        <x:v>0</x:v>
      </x:c>
      <x:c r="T14" s="26" t="n">
        <x:f>IF(E14&lt;&gt;"可计算","待核",MAX(0,F14*(1-G14)-K14))</x:f>
        <x:v>16720</x:v>
      </x:c>
      <x:c r="U14" s="30" t="n">
        <x:f>IF(E14&lt;&gt;"可计算","待核",IF(MIN(O14,DATE(YEAR(政策与口径!$B$7),MONTH(政策与口径!$B$7),1))&lt;N14,0,DATEDIF(N14,MIN(O14,DATE(YEAR(政策与口径!$B$7),MONTH(政策与口径!$B$7),1)),"m")+1))</x:f>
        <x:v>5</x:v>
      </x:c>
      <x:c r="V14" s="26" t="n">
        <x:f>IF(E14&lt;&gt;"可计算","待核",ROUND(MIN(T14,U14*Q14),2))</x:f>
        <x:v>1900</x:v>
      </x:c>
      <x:c r="W14" s="25" t="n">
        <x:f>IF(ISBLANK(资产台账!J14),"待录入",IF(ISNUMBER(资产台账!J14),资产台账!J14,"待核金额"))</x:f>
        <x:v>1900</x:v>
      </x:c>
      <x:c r="X14" s="27" t="n">
        <x:f>IF(AND(E14="可计算",ISNUMBER(W14)),V14-W14,"待核")</x:f>
        <x:v>0</x:v>
      </x:c>
      <x:c r="Y14" s="32" t="n">
        <x:f>IF(E14&lt;&gt;"可计算","待核",ROUND(MIN(T14,P14*Q14),2))</x:f>
        <x:v>1900</x:v>
      </x:c>
      <x:c r="Z14" s="46" t="str">
        <x:f>IF(ISBLANK(资产台账!K14),"待录入",IF(ISNUMBER(资产台账!K14),资产台账!K14,"待核金额"))</x:f>
        <x:v>待录入</x:v>
      </x:c>
      <x:c r="AA14" s="47" t="str">
        <x:f>IF(OR(E14&lt;&gt;"可计算",政策与口径!$B$10&lt;&gt;"终版已确认",NOT(ISNUMBER(Z14))),"待终版",Y14-Z14)</x:f>
        <x:v>待终版</x:v>
      </x:c>
      <x:c r="AB14" s="21" t="str">
        <x:f>IF(E14&lt;&gt;"可计算",E14,IF(ABS(S14)&gt;政策与口径!$B$8,"期初累计差异，先核历史",IF(NOT(ISNUMBER(Z14)),"全年实提待录入",IF(政策与口径!$B$10&lt;&gt;"终版已确认","版本待确认","待梁老师复核"))))</x:f>
        <x:v>全年实提待录入</x:v>
      </x:c>
    </x:row>
    <x:row r="15" ht="25" customHeight="1">
      <x:c r="A15" s="44" t="str">
        <x:f>资产台账!A15</x:f>
        <x:v>0008</x:v>
      </x:c>
      <x:c r="B15" s="22" t="str">
        <x:f>资产台账!B15</x:f>
        <x:v>上年处置设备</x:v>
      </x:c>
      <x:c r="C15" s="22" t="str">
        <x:f>资产台账!C15</x:f>
        <x:v>生产部</x:v>
      </x:c>
      <x:c r="D15" s="22" t="str">
        <x:f>资产台账!D15</x:f>
        <x:v>制造费用</x:v>
      </x:c>
      <x:c r="E15" s="21" t="str">
        <x:f>IF(A15="","待核：编号为空",IF(NOT(ISTEXT(A15)),"待核：编号非文本",IF(COUNTIFS(资产台账!$A$8:$A$26,A15)&lt;&gt;1,"待核：台账编号重复",IF(COUNTIFS(政策与口径!$A$16:$A$33,A15)&lt;&gt;1,"待核：政策缺失或重复",IF(OR(NOT(ISNUMBER(F15)),F15&lt;=0),"待核：原值格式",IF(资产台账!F15&lt;&gt;政策与口径!$B$9,"待核：金额单位",IF(OR(NOT(ISNUMBER(G15)),G15&lt;0,G15&gt;=1),"待核：残值率",IF(NOT(ISNUMBER(H15)),"待核：寿命格式",IF(OR(H15&lt;=0,MOD(H15*12,1)&lt;&gt;0),"待核：寿命",IF(NOT(ISNUMBER(I15)),"待核：可使用日期",IF(AND(J15&lt;&gt;"",OR(NOT(ISNUMBER(J15)),J15&lt;I15)),"待核：处置日期",IF(OR(NOT(ISNUMBER(K15)),K15&lt;0,K15&gt;F15*(1-G15)+政策与口径!$B$8),"待核：期初累计",IF(_xlfn.XLOOKUP(A15,政策与口径!$A$16:$A$33,政策与口径!$E$16:$E$33,"待核：未匹配",0)&lt;&gt;"示例已确认","待核：政策依据",IF(_xlfn.XLOOKUP(A15,政策与口径!$A$16:$A$33,政策与口径!$D$16:$D$33,"待核：未匹配",0)&lt;&gt;"按月直线法","待核：折旧方法","可计算"))))))))))))))</x:f>
        <x:v>可计算</x:v>
      </x:c>
      <x:c r="F15" s="25" t="n">
        <x:f>资产台账!E15</x:f>
        <x:v>36000</x:v>
      </x:c>
      <x:c r="G15" s="28" t="n">
        <x:f>IF(COUNTIFS(政策与口径!$A$16:$A$33,A15)&lt;&gt;1,"待核：政策编号",IF(COUNTIFS(政策与口径!$A$16:$A$33,A15,政策与口径!$B$16:$B$33,"&lt;&gt;")&lt;&gt;1,"待核：参数空白",_xlfn.XLOOKUP(A15,政策与口径!$A$16:$A$33,政策与口径!$B$16:$B$33,"待核：未匹配",0)))</x:f>
        <x:v>0.05</x:v>
      </x:c>
      <x:c r="H15" s="45" t="n">
        <x:f>IF(COUNTIFS(政策与口径!$A$16:$A$33,A15)&lt;&gt;1,"待核：政策编号",IF(COUNTIFS(政策与口径!$A$16:$A$33,A15,政策与口径!$C$16:$C$33,"&lt;&gt;")&lt;&gt;1,"待核：参数空白",_xlfn.XLOOKUP(A15,政策与口径!$A$16:$A$33,政策与口径!$C$16:$C$33,"待核：未匹配",0)))</x:f>
        <x:v>3</x:v>
      </x:c>
      <x:c r="I15" s="23" t="n">
        <x:f>IF(ISBLANK(资产台账!G15),"",资产台账!G15)</x:f>
        <x:v>44165</x:v>
      </x:c>
      <x:c r="J15" s="23" t="n">
        <x:f>IF(ISBLANK(资产台账!H15),"",资产台账!H15)</x:f>
        <x:v>45238</x:v>
      </x:c>
      <x:c r="K15" s="25" t="n">
        <x:f>IF(ISBLANK(资产台账!I15),"",资产台账!I15)</x:f>
        <x:v>0</x:v>
      </x:c>
      <x:c r="L15" s="24" t="n">
        <x:f>IF(E15&lt;&gt;"可计算","待核",DATE(YEAR(I15),MONTH(I15)+1,1))</x:f>
        <x:v>44166</x:v>
      </x:c>
      <x:c r="M15" s="24" t="n">
        <x:f>IF(E15&lt;&gt;"可计算","待核",EDATE(L15,H15*12-1))</x:f>
        <x:v>45231</x:v>
      </x:c>
      <x:c r="N15" s="24" t="n">
        <x:f>IF(E15&lt;&gt;"可计算","待核",MAX(L15,DATE(YEAR(政策与口径!$B$5),MONTH(政策与口径!$B$5),1)))</x:f>
        <x:v>45292</x:v>
      </x:c>
      <x:c r="O15" s="24" t="n">
        <x:f>IF(E15&lt;&gt;"可计算","待核",MIN(M15,DATE(YEAR(政策与口径!$B$6),MONTH(政策与口径!$B$6),1),IF(J15="",DATE(YEAR(政策与口径!$B$6),MONTH(政策与口径!$B$6),1),DATE(YEAR(J15),MONTH(J15),1))))</x:f>
        <x:v>45231</x:v>
      </x:c>
      <x:c r="P15" s="30" t="n">
        <x:f>IF(E15&lt;&gt;"可计算","待核",IF(O15&lt;N15,0,DATEDIF(N15,O15,"m")+1))</x:f>
        <x:v>0</x:v>
      </x:c>
      <x:c r="Q15" s="26" t="n">
        <x:f>IF(E15&lt;&gt;"可计算","待核",F15*(1-G15)/(H15*12))</x:f>
        <x:v>950</x:v>
      </x:c>
      <x:c r="R15" s="26" t="n">
        <x:f>IF(E15&lt;&gt;"可计算","待核",IF(AND(J15&lt;&gt;"",J15&lt;政策与口径!$B$5),0,IF(L15&gt;EDATE(DATE(YEAR(政策与口径!$B$5),MONTH(政策与口径!$B$5),1),-1),0,ROUND(MIN(F15*(1-G15),Q15*(DATEDIF(L15,EDATE(DATE(YEAR(政策与口径!$B$5),MONTH(政策与口径!$B$5),1),-1),"m")+1)),2))))</x:f>
        <x:v>0</x:v>
      </x:c>
      <x:c r="S15" s="27" t="n">
        <x:f>IF(E15&lt;&gt;"可计算","待核",K15-R15)</x:f>
        <x:v>0</x:v>
      </x:c>
      <x:c r="T15" s="26" t="n">
        <x:f>IF(E15&lt;&gt;"可计算","待核",MAX(0,F15*(1-G15)-K15))</x:f>
        <x:v>34200</x:v>
      </x:c>
      <x:c r="U15" s="30" t="n">
        <x:f>IF(E15&lt;&gt;"可计算","待核",IF(MIN(O15,DATE(YEAR(政策与口径!$B$7),MONTH(政策与口径!$B$7),1))&lt;N15,0,DATEDIF(N15,MIN(O15,DATE(YEAR(政策与口径!$B$7),MONTH(政策与口径!$B$7),1)),"m")+1))</x:f>
        <x:v>0</x:v>
      </x:c>
      <x:c r="V15" s="26" t="n">
        <x:f>IF(E15&lt;&gt;"可计算","待核",ROUND(MIN(T15,U15*Q15),2))</x:f>
        <x:v>0</x:v>
      </x:c>
      <x:c r="W15" s="25" t="n">
        <x:f>IF(ISBLANK(资产台账!J15),"待录入",IF(ISNUMBER(资产台账!J15),资产台账!J15,"待核金额"))</x:f>
        <x:v>0</x:v>
      </x:c>
      <x:c r="X15" s="27" t="n">
        <x:f>IF(AND(E15="可计算",ISNUMBER(W15)),V15-W15,"待核")</x:f>
        <x:v>0</x:v>
      </x:c>
      <x:c r="Y15" s="32" t="n">
        <x:f>IF(E15&lt;&gt;"可计算","待核",ROUND(MIN(T15,P15*Q15),2))</x:f>
        <x:v>0</x:v>
      </x:c>
      <x:c r="Z15" s="46" t="str">
        <x:f>IF(ISBLANK(资产台账!K15),"待录入",IF(ISNUMBER(资产台账!K15),资产台账!K15,"待核金额"))</x:f>
        <x:v>待录入</x:v>
      </x:c>
      <x:c r="AA15" s="47" t="str">
        <x:f>IF(OR(E15&lt;&gt;"可计算",政策与口径!$B$10&lt;&gt;"终版已确认",NOT(ISNUMBER(Z15))),"待终版",Y15-Z15)</x:f>
        <x:v>待终版</x:v>
      </x:c>
      <x:c r="AB15" s="21" t="str">
        <x:f>IF(E15&lt;&gt;"可计算",E15,IF(ABS(S15)&gt;政策与口径!$B$8,"期初累计差异，先核历史",IF(NOT(ISNUMBER(Z15)),"全年实提待录入",IF(政策与口径!$B$10&lt;&gt;"终版已确认","版本待确认","待梁老师复核"))))</x:f>
        <x:v>全年实提待录入</x:v>
      </x:c>
    </x:row>
    <x:row r="16" ht="25" customHeight="1">
      <x:c r="A16" s="44" t="str">
        <x:f>资产台账!A16</x:f>
        <x:v>0009</x:v>
      </x:c>
      <x:c r="B16" s="22" t="str">
        <x:f>资产台账!B16</x:f>
        <x:v>最后一年小设备</x:v>
      </x:c>
      <x:c r="C16" s="22" t="str">
        <x:f>资产台账!C16</x:f>
        <x:v>研发部</x:v>
      </x:c>
      <x:c r="D16" s="22" t="str">
        <x:f>资产台账!D16</x:f>
        <x:v>研发费用</x:v>
      </x:c>
      <x:c r="E16" s="21" t="str">
        <x:f>IF(A16="","待核：编号为空",IF(NOT(ISTEXT(A16)),"待核：编号非文本",IF(COUNTIFS(资产台账!$A$8:$A$26,A16)&lt;&gt;1,"待核：台账编号重复",IF(COUNTIFS(政策与口径!$A$16:$A$33,A16)&lt;&gt;1,"待核：政策缺失或重复",IF(OR(NOT(ISNUMBER(F16)),F16&lt;=0),"待核：原值格式",IF(资产台账!F16&lt;&gt;政策与口径!$B$9,"待核：金额单位",IF(OR(NOT(ISNUMBER(G16)),G16&lt;0,G16&gt;=1),"待核：残值率",IF(NOT(ISNUMBER(H16)),"待核：寿命格式",IF(OR(H16&lt;=0,MOD(H16*12,1)&lt;&gt;0),"待核：寿命",IF(NOT(ISNUMBER(I16)),"待核：可使用日期",IF(AND(J16&lt;&gt;"",OR(NOT(ISNUMBER(J16)),J16&lt;I16)),"待核：处置日期",IF(OR(NOT(ISNUMBER(K16)),K16&lt;0,K16&gt;F16*(1-G16)+政策与口径!$B$8),"待核：期初累计",IF(_xlfn.XLOOKUP(A16,政策与口径!$A$16:$A$33,政策与口径!$E$16:$E$33,"待核：未匹配",0)&lt;&gt;"示例已确认","待核：政策依据",IF(_xlfn.XLOOKUP(A16,政策与口径!$A$16:$A$33,政策与口径!$D$16:$D$33,"待核：未匹配",0)&lt;&gt;"按月直线法","待核：折旧方法","可计算"))))))))))))))</x:f>
        <x:v>可计算</x:v>
      </x:c>
      <x:c r="F16" s="25" t="n">
        <x:f>资产台账!E16</x:f>
        <x:v>10000</x:v>
      </x:c>
      <x:c r="G16" s="28" t="n">
        <x:f>IF(COUNTIFS(政策与口径!$A$16:$A$33,A16)&lt;&gt;1,"待核：政策编号",IF(COUNTIFS(政策与口径!$A$16:$A$33,A16,政策与口径!$B$16:$B$33,"&lt;&gt;")&lt;&gt;1,"待核：参数空白",_xlfn.XLOOKUP(A16,政策与口径!$A$16:$A$33,政策与口径!$B$16:$B$33,"待核：未匹配",0)))</x:f>
        <x:v>0</x:v>
      </x:c>
      <x:c r="H16" s="45" t="n">
        <x:f>IF(COUNTIFS(政策与口径!$A$16:$A$33,A16)&lt;&gt;1,"待核：政策编号",IF(COUNTIFS(政策与口径!$A$16:$A$33,A16,政策与口径!$C$16:$C$33,"&lt;&gt;")&lt;&gt;1,"待核：参数空白",_xlfn.XLOOKUP(A16,政策与口径!$A$16:$A$33,政策与口径!$C$16:$C$33,"待核：未匹配",0)))</x:f>
        <x:v>3</x:v>
      </x:c>
      <x:c r="I16" s="23" t="n">
        <x:f>IF(ISBLANK(资产台账!G16),"",资产台账!G16)</x:f>
        <x:v>44545</x:v>
      </x:c>
      <x:c r="J16" s="23" t="str">
        <x:f>IF(ISBLANK(资产台账!H16),"",资产台账!H16)</x:f>
      </x:c>
      <x:c r="K16" s="25" t="n">
        <x:f>IF(ISBLANK(资产台账!I16),"",资产台账!I16)</x:f>
        <x:v>6666.72</x:v>
      </x:c>
      <x:c r="L16" s="24" t="n">
        <x:f>IF(E16&lt;&gt;"可计算","待核",DATE(YEAR(I16),MONTH(I16)+1,1))</x:f>
        <x:v>44562</x:v>
      </x:c>
      <x:c r="M16" s="24" t="n">
        <x:f>IF(E16&lt;&gt;"可计算","待核",EDATE(L16,H16*12-1))</x:f>
        <x:v>45627</x:v>
      </x:c>
      <x:c r="N16" s="24" t="n">
        <x:f>IF(E16&lt;&gt;"可计算","待核",MAX(L16,DATE(YEAR(政策与口径!$B$5),MONTH(政策与口径!$B$5),1)))</x:f>
        <x:v>45292</x:v>
      </x:c>
      <x:c r="O16" s="24" t="n">
        <x:f>IF(E16&lt;&gt;"可计算","待核",MIN(M16,DATE(YEAR(政策与口径!$B$6),MONTH(政策与口径!$B$6),1),IF(J16="",DATE(YEAR(政策与口径!$B$6),MONTH(政策与口径!$B$6),1),DATE(YEAR(J16),MONTH(J16),1))))</x:f>
        <x:v>45627</x:v>
      </x:c>
      <x:c r="P16" s="30" t="n">
        <x:f>IF(E16&lt;&gt;"可计算","待核",IF(O16&lt;N16,0,DATEDIF(N16,O16,"m")+1))</x:f>
        <x:v>12</x:v>
      </x:c>
      <x:c r="Q16" s="26" t="n">
        <x:f>IF(E16&lt;&gt;"可计算","待核",F16*(1-G16)/(H16*12))</x:f>
        <x:v>277.77777777777777</x:v>
      </x:c>
      <x:c r="R16" s="26" t="n">
        <x:f>IF(E16&lt;&gt;"可计算","待核",IF(AND(J16&lt;&gt;"",J16&lt;政策与口径!$B$5),0,IF(L16&gt;EDATE(DATE(YEAR(政策与口径!$B$5),MONTH(政策与口径!$B$5),1),-1),0,ROUND(MIN(F16*(1-G16),Q16*(DATEDIF(L16,EDATE(DATE(YEAR(政策与口径!$B$5),MONTH(政策与口径!$B$5),1),-1),"m")+1)),2))))</x:f>
        <x:v>6666.67</x:v>
      </x:c>
      <x:c r="S16" s="27" t="n">
        <x:f>IF(E16&lt;&gt;"可计算","待核",K16-R16)</x:f>
        <x:v>0.0500000000001819</x:v>
      </x:c>
      <x:c r="T16" s="26" t="n">
        <x:f>IF(E16&lt;&gt;"可计算","待核",MAX(0,F16*(1-G16)-K16))</x:f>
        <x:v>3333.2799999999997</x:v>
      </x:c>
      <x:c r="U16" s="30" t="n">
        <x:f>IF(E16&lt;&gt;"可计算","待核",IF(MIN(O16,DATE(YEAR(政策与口径!$B$7),MONTH(政策与口径!$B$7),1))&lt;N16,0,DATEDIF(N16,MIN(O16,DATE(YEAR(政策与口径!$B$7),MONTH(政策与口径!$B$7),1)),"m")+1))</x:f>
        <x:v>11</x:v>
      </x:c>
      <x:c r="V16" s="26" t="n">
        <x:f>IF(E16&lt;&gt;"可计算","待核",ROUND(MIN(T16,U16*Q16),2))</x:f>
        <x:v>3055.56</x:v>
      </x:c>
      <x:c r="W16" s="25" t="n">
        <x:f>IF(ISBLANK(资产台账!J16),"待录入",IF(ISNUMBER(资产台账!J16),资产台账!J16,"待核金额"))</x:f>
        <x:v>3055.58</x:v>
      </x:c>
      <x:c r="X16" s="27" t="n">
        <x:f>IF(AND(E16="可计算",ISNUMBER(W16)),V16-W16,"待核")</x:f>
        <x:v>-0.01999999999998181</x:v>
      </x:c>
      <x:c r="Y16" s="32" t="n">
        <x:f>IF(E16&lt;&gt;"可计算","待核",ROUND(MIN(T16,P16*Q16),2))</x:f>
        <x:v>3333.28</x:v>
      </x:c>
      <x:c r="Z16" s="46" t="str">
        <x:f>IF(ISBLANK(资产台账!K16),"待录入",IF(ISNUMBER(资产台账!K16),资产台账!K16,"待核金额"))</x:f>
        <x:v>待录入</x:v>
      </x:c>
      <x:c r="AA16" s="47" t="str">
        <x:f>IF(OR(E16&lt;&gt;"可计算",政策与口径!$B$10&lt;&gt;"终版已确认",NOT(ISNUMBER(Z16))),"待终版",Y16-Z16)</x:f>
        <x:v>待终版</x:v>
      </x:c>
      <x:c r="AB16" s="21" t="str">
        <x:f>IF(E16&lt;&gt;"可计算",E16,IF(ABS(S16)&gt;政策与口径!$B$8,"期初累计差异，先核历史",IF(NOT(ISNUMBER(Z16)),"全年实提待录入",IF(政策与口径!$B$10&lt;&gt;"终版已确认","版本待确认","待梁老师复核"))))</x:f>
        <x:v>期初累计差异，先核历史</x:v>
      </x:c>
    </x:row>
    <x:row r="17" ht="25" customHeight="1">
      <x:c r="A17" s="44" t="str">
        <x:f>资产台账!A17</x:f>
        <x:v>0010</x:v>
      </x:c>
      <x:c r="B17" s="22" t="str">
        <x:f>资产台账!B17</x:f>
        <x:v>有历史差额的机器</x:v>
      </x:c>
      <x:c r="C17" s="22" t="str">
        <x:f>资产台账!C17</x:f>
        <x:v>生产部</x:v>
      </x:c>
      <x:c r="D17" s="22" t="str">
        <x:f>资产台账!D17</x:f>
        <x:v>制造费用</x:v>
      </x:c>
      <x:c r="E17" s="21" t="str">
        <x:f>IF(A17="","待核：编号为空",IF(NOT(ISTEXT(A17)),"待核：编号非文本",IF(COUNTIFS(资产台账!$A$8:$A$26,A17)&lt;&gt;1,"待核：台账编号重复",IF(COUNTIFS(政策与口径!$A$16:$A$33,A17)&lt;&gt;1,"待核：政策缺失或重复",IF(OR(NOT(ISNUMBER(F17)),F17&lt;=0),"待核：原值格式",IF(资产台账!F17&lt;&gt;政策与口径!$B$9,"待核：金额单位",IF(OR(NOT(ISNUMBER(G17)),G17&lt;0,G17&gt;=1),"待核：残值率",IF(NOT(ISNUMBER(H17)),"待核：寿命格式",IF(OR(H17&lt;=0,MOD(H17*12,1)&lt;&gt;0),"待核：寿命",IF(NOT(ISNUMBER(I17)),"待核：可使用日期",IF(AND(J17&lt;&gt;"",OR(NOT(ISNUMBER(J17)),J17&lt;I17)),"待核：处置日期",IF(OR(NOT(ISNUMBER(K17)),K17&lt;0,K17&gt;F17*(1-G17)+政策与口径!$B$8),"待核：期初累计",IF(_xlfn.XLOOKUP(A17,政策与口径!$A$16:$A$33,政策与口径!$E$16:$E$33,"待核：未匹配",0)&lt;&gt;"示例已确认","待核：政策依据",IF(_xlfn.XLOOKUP(A17,政策与口径!$A$16:$A$33,政策与口径!$D$16:$D$33,"待核：未匹配",0)&lt;&gt;"按月直线法","待核：折旧方法","可计算"))))))))))))))</x:f>
        <x:v>可计算</x:v>
      </x:c>
      <x:c r="F17" s="25" t="n">
        <x:f>资产台账!E17</x:f>
        <x:v>60000</x:v>
      </x:c>
      <x:c r="G17" s="28" t="n">
        <x:f>IF(COUNTIFS(政策与口径!$A$16:$A$33,A17)&lt;&gt;1,"待核：政策编号",IF(COUNTIFS(政策与口径!$A$16:$A$33,A17,政策与口径!$B$16:$B$33,"&lt;&gt;")&lt;&gt;1,"待核：参数空白",_xlfn.XLOOKUP(A17,政策与口径!$A$16:$A$33,政策与口径!$B$16:$B$33,"待核：未匹配",0)))</x:f>
        <x:v>0.05</x:v>
      </x:c>
      <x:c r="H17" s="45" t="n">
        <x:f>IF(COUNTIFS(政策与口径!$A$16:$A$33,A17)&lt;&gt;1,"待核：政策编号",IF(COUNTIFS(政策与口径!$A$16:$A$33,A17,政策与口径!$C$16:$C$33,"&lt;&gt;")&lt;&gt;1,"待核：参数空白",_xlfn.XLOOKUP(A17,政策与口径!$A$16:$A$33,政策与口径!$C$16:$C$33,"待核：未匹配",0)))</x:f>
        <x:v>5</x:v>
      </x:c>
      <x:c r="I17" s="23" t="n">
        <x:f>IF(ISBLANK(资产台账!G17),"",资产台账!G17)</x:f>
        <x:v>43789</x:v>
      </x:c>
      <x:c r="J17" s="23" t="str">
        <x:f>IF(ISBLANK(资产台账!H17),"",资产台账!H17)</x:f>
      </x:c>
      <x:c r="K17" s="25" t="n">
        <x:f>IF(ISBLANK(资产台账!I17),"",资产台账!I17)</x:f>
        <x:v>45000</x:v>
      </x:c>
      <x:c r="L17" s="24" t="n">
        <x:f>IF(E17&lt;&gt;"可计算","待核",DATE(YEAR(I17),MONTH(I17)+1,1))</x:f>
        <x:v>43800</x:v>
      </x:c>
      <x:c r="M17" s="24" t="n">
        <x:f>IF(E17&lt;&gt;"可计算","待核",EDATE(L17,H17*12-1))</x:f>
        <x:v>45597</x:v>
      </x:c>
      <x:c r="N17" s="24" t="n">
        <x:f>IF(E17&lt;&gt;"可计算","待核",MAX(L17,DATE(YEAR(政策与口径!$B$5),MONTH(政策与口径!$B$5),1)))</x:f>
        <x:v>45292</x:v>
      </x:c>
      <x:c r="O17" s="24" t="n">
        <x:f>IF(E17&lt;&gt;"可计算","待核",MIN(M17,DATE(YEAR(政策与口径!$B$6),MONTH(政策与口径!$B$6),1),IF(J17="",DATE(YEAR(政策与口径!$B$6),MONTH(政策与口径!$B$6),1),DATE(YEAR(J17),MONTH(J17),1))))</x:f>
        <x:v>45597</x:v>
      </x:c>
      <x:c r="P17" s="30" t="n">
        <x:f>IF(E17&lt;&gt;"可计算","待核",IF(O17&lt;N17,0,DATEDIF(N17,O17,"m")+1))</x:f>
        <x:v>11</x:v>
      </x:c>
      <x:c r="Q17" s="26" t="n">
        <x:f>IF(E17&lt;&gt;"可计算","待核",F17*(1-G17)/(H17*12))</x:f>
        <x:v>950</x:v>
      </x:c>
      <x:c r="R17" s="26" t="n">
        <x:f>IF(E17&lt;&gt;"可计算","待核",IF(AND(J17&lt;&gt;"",J17&lt;政策与口径!$B$5),0,IF(L17&gt;EDATE(DATE(YEAR(政策与口径!$B$5),MONTH(政策与口径!$B$5),1),-1),0,ROUND(MIN(F17*(1-G17),Q17*(DATEDIF(L17,EDATE(DATE(YEAR(政策与口径!$B$5),MONTH(政策与口径!$B$5),1),-1),"m")+1)),2))))</x:f>
        <x:v>46550</x:v>
      </x:c>
      <x:c r="S17" s="27" t="n">
        <x:f>IF(E17&lt;&gt;"可计算","待核",K17-R17)</x:f>
        <x:v>-1550</x:v>
      </x:c>
      <x:c r="T17" s="26" t="n">
        <x:f>IF(E17&lt;&gt;"可计算","待核",MAX(0,F17*(1-G17)-K17))</x:f>
        <x:v>12000</x:v>
      </x:c>
      <x:c r="U17" s="30" t="n">
        <x:f>IF(E17&lt;&gt;"可计算","待核",IF(MIN(O17,DATE(YEAR(政策与口径!$B$7),MONTH(政策与口径!$B$7),1))&lt;N17,0,DATEDIF(N17,MIN(O17,DATE(YEAR(政策与口径!$B$7),MONTH(政策与口径!$B$7),1)),"m")+1))</x:f>
        <x:v>11</x:v>
      </x:c>
      <x:c r="V17" s="26" t="n">
        <x:f>IF(E17&lt;&gt;"可计算","待核",ROUND(MIN(T17,U17*Q17),2))</x:f>
        <x:v>10450</x:v>
      </x:c>
      <x:c r="W17" s="25" t="n">
        <x:f>IF(ISBLANK(资产台账!J17),"待录入",IF(ISNUMBER(资产台账!J17),资产台账!J17,"待核金额"))</x:f>
        <x:v>10450</x:v>
      </x:c>
      <x:c r="X17" s="27" t="n">
        <x:f>IF(AND(E17="可计算",ISNUMBER(W17)),V17-W17,"待核")</x:f>
        <x:v>0</x:v>
      </x:c>
      <x:c r="Y17" s="32" t="n">
        <x:f>IF(E17&lt;&gt;"可计算","待核",ROUND(MIN(T17,P17*Q17),2))</x:f>
        <x:v>10450</x:v>
      </x:c>
      <x:c r="Z17" s="46" t="str">
        <x:f>IF(ISBLANK(资产台账!K17),"待录入",IF(ISNUMBER(资产台账!K17),资产台账!K17,"待核金额"))</x:f>
        <x:v>待录入</x:v>
      </x:c>
      <x:c r="AA17" s="47" t="str">
        <x:f>IF(OR(E17&lt;&gt;"可计算",政策与口径!$B$10&lt;&gt;"终版已确认",NOT(ISNUMBER(Z17))),"待终版",Y17-Z17)</x:f>
        <x:v>待终版</x:v>
      </x:c>
      <x:c r="AB17" s="21" t="str">
        <x:f>IF(E17&lt;&gt;"可计算",E17,IF(ABS(S17)&gt;政策与口径!$B$8,"期初累计差异，先核历史",IF(NOT(ISNUMBER(Z17)),"全年实提待录入",IF(政策与口径!$B$10&lt;&gt;"终版已确认","版本待确认","待梁老师复核"))))</x:f>
        <x:v>期初累计差异，先核历史</x:v>
      </x:c>
    </x:row>
    <x:row r="18" ht="25" customHeight="1">
      <x:c r="A18" s="44" t="str">
        <x:f>资产台账!A18</x:f>
        <x:v>0011</x:v>
      </x:c>
      <x:c r="B18" s="22" t="str">
        <x:f>资产台账!B18</x:f>
        <x:v>政策缺失设备</x:v>
      </x:c>
      <x:c r="C18" s="22" t="str">
        <x:f>资产台账!C18</x:f>
        <x:v>生产部</x:v>
      </x:c>
      <x:c r="D18" s="22" t="str">
        <x:f>资产台账!D18</x:f>
        <x:v>制造费用</x:v>
      </x:c>
      <x:c r="E18" s="21" t="str">
        <x:f>IF(A18="","待核：编号为空",IF(NOT(ISTEXT(A18)),"待核：编号非文本",IF(COUNTIFS(资产台账!$A$8:$A$26,A18)&lt;&gt;1,"待核：台账编号重复",IF(COUNTIFS(政策与口径!$A$16:$A$33,A18)&lt;&gt;1,"待核：政策缺失或重复",IF(OR(NOT(ISNUMBER(F18)),F18&lt;=0),"待核：原值格式",IF(资产台账!F18&lt;&gt;政策与口径!$B$9,"待核：金额单位",IF(OR(NOT(ISNUMBER(G18)),G18&lt;0,G18&gt;=1),"待核：残值率",IF(NOT(ISNUMBER(H18)),"待核：寿命格式",IF(OR(H18&lt;=0,MOD(H18*12,1)&lt;&gt;0),"待核：寿命",IF(NOT(ISNUMBER(I18)),"待核：可使用日期",IF(AND(J18&lt;&gt;"",OR(NOT(ISNUMBER(J18)),J18&lt;I18)),"待核：处置日期",IF(OR(NOT(ISNUMBER(K18)),K18&lt;0,K18&gt;F18*(1-G18)+政策与口径!$B$8),"待核：期初累计",IF(_xlfn.XLOOKUP(A18,政策与口径!$A$16:$A$33,政策与口径!$E$16:$E$33,"待核：未匹配",0)&lt;&gt;"示例已确认","待核：政策依据",IF(_xlfn.XLOOKUP(A18,政策与口径!$A$16:$A$33,政策与口径!$D$16:$D$33,"待核：未匹配",0)&lt;&gt;"按月直线法","待核：折旧方法","可计算"))))))))))))))</x:f>
        <x:v>待核：政策缺失或重复</x:v>
      </x:c>
      <x:c r="F18" s="25" t="n">
        <x:f>资产台账!E18</x:f>
        <x:v>80000</x:v>
      </x:c>
      <x:c r="G18" s="28" t="str">
        <x:f>IF(COUNTIFS(政策与口径!$A$16:$A$33,A18)&lt;&gt;1,"待核：政策编号",IF(COUNTIFS(政策与口径!$A$16:$A$33,A18,政策与口径!$B$16:$B$33,"&lt;&gt;")&lt;&gt;1,"待核：参数空白",_xlfn.XLOOKUP(A18,政策与口径!$A$16:$A$33,政策与口径!$B$16:$B$33,"待核：未匹配",0)))</x:f>
        <x:v>待核：政策编号</x:v>
      </x:c>
      <x:c r="H18" s="45" t="str">
        <x:f>IF(COUNTIFS(政策与口径!$A$16:$A$33,A18)&lt;&gt;1,"待核：政策编号",IF(COUNTIFS(政策与口径!$A$16:$A$33,A18,政策与口径!$C$16:$C$33,"&lt;&gt;")&lt;&gt;1,"待核：参数空白",_xlfn.XLOOKUP(A18,政策与口径!$A$16:$A$33,政策与口径!$C$16:$C$33,"待核：未匹配",0)))</x:f>
        <x:v>待核：政策编号</x:v>
      </x:c>
      <x:c r="I18" s="23" t="n">
        <x:f>IF(ISBLANK(资产台账!G18),"",资产台账!G18)</x:f>
        <x:v>45363</x:v>
      </x:c>
      <x:c r="J18" s="23" t="str">
        <x:f>IF(ISBLANK(资产台账!H18),"",资产台账!H18)</x:f>
      </x:c>
      <x:c r="K18" s="25" t="n">
        <x:f>IF(ISBLANK(资产台账!I18),"",资产台账!I18)</x:f>
        <x:v>0</x:v>
      </x:c>
      <x:c r="L18" s="24" t="str">
        <x:f>IF(E18&lt;&gt;"可计算","待核",DATE(YEAR(I18),MONTH(I18)+1,1))</x:f>
        <x:v>待核</x:v>
      </x:c>
      <x:c r="M18" s="24" t="str">
        <x:f>IF(E18&lt;&gt;"可计算","待核",EDATE(L18,H18*12-1))</x:f>
        <x:v>待核</x:v>
      </x:c>
      <x:c r="N18" s="24" t="str">
        <x:f>IF(E18&lt;&gt;"可计算","待核",MAX(L18,DATE(YEAR(政策与口径!$B$5),MONTH(政策与口径!$B$5),1)))</x:f>
        <x:v>待核</x:v>
      </x:c>
      <x:c r="O18" s="24" t="str">
        <x:f>IF(E18&lt;&gt;"可计算","待核",MIN(M18,DATE(YEAR(政策与口径!$B$6),MONTH(政策与口径!$B$6),1),IF(J18="",DATE(YEAR(政策与口径!$B$6),MONTH(政策与口径!$B$6),1),DATE(YEAR(J18),MONTH(J18),1))))</x:f>
        <x:v>待核</x:v>
      </x:c>
      <x:c r="P18" s="30" t="str">
        <x:f>IF(E18&lt;&gt;"可计算","待核",IF(O18&lt;N18,0,DATEDIF(N18,O18,"m")+1))</x:f>
        <x:v>待核</x:v>
      </x:c>
      <x:c r="Q18" s="26" t="str">
        <x:f>IF(E18&lt;&gt;"可计算","待核",F18*(1-G18)/(H18*12))</x:f>
        <x:v>待核</x:v>
      </x:c>
      <x:c r="R18" s="26" t="str">
        <x:f>IF(E18&lt;&gt;"可计算","待核",IF(AND(J18&lt;&gt;"",J18&lt;政策与口径!$B$5),0,IF(L18&gt;EDATE(DATE(YEAR(政策与口径!$B$5),MONTH(政策与口径!$B$5),1),-1),0,ROUND(MIN(F18*(1-G18),Q18*(DATEDIF(L18,EDATE(DATE(YEAR(政策与口径!$B$5),MONTH(政策与口径!$B$5),1),-1),"m")+1)),2))))</x:f>
        <x:v>待核</x:v>
      </x:c>
      <x:c r="S18" s="27" t="str">
        <x:f>IF(E18&lt;&gt;"可计算","待核",K18-R18)</x:f>
        <x:v>待核</x:v>
      </x:c>
      <x:c r="T18" s="26" t="str">
        <x:f>IF(E18&lt;&gt;"可计算","待核",MAX(0,F18*(1-G18)-K18))</x:f>
        <x:v>待核</x:v>
      </x:c>
      <x:c r="U18" s="30" t="str">
        <x:f>IF(E18&lt;&gt;"可计算","待核",IF(MIN(O18,DATE(YEAR(政策与口径!$B$7),MONTH(政策与口径!$B$7),1))&lt;N18,0,DATEDIF(N18,MIN(O18,DATE(YEAR(政策与口径!$B$7),MONTH(政策与口径!$B$7),1)),"m")+1))</x:f>
        <x:v>待核</x:v>
      </x:c>
      <x:c r="V18" s="26" t="str">
        <x:f>IF(E18&lt;&gt;"可计算","待核",ROUND(MIN(T18,U18*Q18),2))</x:f>
        <x:v>待核</x:v>
      </x:c>
      <x:c r="W18" s="25" t="n">
        <x:f>IF(ISBLANK(资产台账!J18),"待录入",IF(ISNUMBER(资产台账!J18),资产台账!J18,"待核金额"))</x:f>
        <x:v>0</x:v>
      </x:c>
      <x:c r="X18" s="27" t="str">
        <x:f>IF(AND(E18="可计算",ISNUMBER(W18)),V18-W18,"待核")</x:f>
        <x:v>待核</x:v>
      </x:c>
      <x:c r="Y18" s="32" t="str">
        <x:f>IF(E18&lt;&gt;"可计算","待核",ROUND(MIN(T18,P18*Q18),2))</x:f>
        <x:v>待核</x:v>
      </x:c>
      <x:c r="Z18" s="46" t="str">
        <x:f>IF(ISBLANK(资产台账!K18),"待录入",IF(ISNUMBER(资产台账!K18),资产台账!K18,"待核金额"))</x:f>
        <x:v>待录入</x:v>
      </x:c>
      <x:c r="AA18" s="47" t="str">
        <x:f>IF(OR(E18&lt;&gt;"可计算",政策与口径!$B$10&lt;&gt;"终版已确认",NOT(ISNUMBER(Z18))),"待终版",Y18-Z18)</x:f>
        <x:v>待终版</x:v>
      </x:c>
      <x:c r="AB18" s="21" t="str">
        <x:f>IF(E18&lt;&gt;"可计算",E18,IF(ABS(S18)&gt;政策与口径!$B$8,"期初累计差异，先核历史",IF(NOT(ISNUMBER(Z18)),"全年实提待录入",IF(政策与口径!$B$10&lt;&gt;"终版已确认","版本待确认","待梁老师复核"))))</x:f>
        <x:v>待核：政策缺失或重复</x:v>
      </x:c>
    </x:row>
    <x:row r="19" ht="25" customHeight="1">
      <x:c r="A19" s="44" t="str">
        <x:f>资产台账!A19</x:f>
        <x:v>0012</x:v>
      </x:c>
      <x:c r="B19" s="22" t="str">
        <x:f>资产台账!B19</x:f>
        <x:v>政策冲突设备</x:v>
      </x:c>
      <x:c r="C19" s="22" t="str">
        <x:f>资产台账!C19</x:f>
        <x:v>生产部</x:v>
      </x:c>
      <x:c r="D19" s="22" t="str">
        <x:f>资产台账!D19</x:f>
        <x:v>制造费用</x:v>
      </x:c>
      <x:c r="E19" s="21" t="str">
        <x:f>IF(A19="","待核：编号为空",IF(NOT(ISTEXT(A19)),"待核：编号非文本",IF(COUNTIFS(资产台账!$A$8:$A$26,A19)&lt;&gt;1,"待核：台账编号重复",IF(COUNTIFS(政策与口径!$A$16:$A$33,A19)&lt;&gt;1,"待核：政策缺失或重复",IF(OR(NOT(ISNUMBER(F19)),F19&lt;=0),"待核：原值格式",IF(资产台账!F19&lt;&gt;政策与口径!$B$9,"待核：金额单位",IF(OR(NOT(ISNUMBER(G19)),G19&lt;0,G19&gt;=1),"待核：残值率",IF(NOT(ISNUMBER(H19)),"待核：寿命格式",IF(OR(H19&lt;=0,MOD(H19*12,1)&lt;&gt;0),"待核：寿命",IF(NOT(ISNUMBER(I19)),"待核：可使用日期",IF(AND(J19&lt;&gt;"",OR(NOT(ISNUMBER(J19)),J19&lt;I19)),"待核：处置日期",IF(OR(NOT(ISNUMBER(K19)),K19&lt;0,K19&gt;F19*(1-G19)+政策与口径!$B$8),"待核：期初累计",IF(_xlfn.XLOOKUP(A19,政策与口径!$A$16:$A$33,政策与口径!$E$16:$E$33,"待核：未匹配",0)&lt;&gt;"示例已确认","待核：政策依据",IF(_xlfn.XLOOKUP(A19,政策与口径!$A$16:$A$33,政策与口径!$D$16:$D$33,"待核：未匹配",0)&lt;&gt;"按月直线法","待核：折旧方法","可计算"))))))))))))))</x:f>
        <x:v>待核：政策缺失或重复</x:v>
      </x:c>
      <x:c r="F19" s="25" t="n">
        <x:f>资产台账!E19</x:f>
        <x:v>80000</x:v>
      </x:c>
      <x:c r="G19" s="28" t="str">
        <x:f>IF(COUNTIFS(政策与口径!$A$16:$A$33,A19)&lt;&gt;1,"待核：政策编号",IF(COUNTIFS(政策与口径!$A$16:$A$33,A19,政策与口径!$B$16:$B$33,"&lt;&gt;")&lt;&gt;1,"待核：参数空白",_xlfn.XLOOKUP(A19,政策与口径!$A$16:$A$33,政策与口径!$B$16:$B$33,"待核：未匹配",0)))</x:f>
        <x:v>待核：政策编号</x:v>
      </x:c>
      <x:c r="H19" s="45" t="str">
        <x:f>IF(COUNTIFS(政策与口径!$A$16:$A$33,A19)&lt;&gt;1,"待核：政策编号",IF(COUNTIFS(政策与口径!$A$16:$A$33,A19,政策与口径!$C$16:$C$33,"&lt;&gt;")&lt;&gt;1,"待核：参数空白",_xlfn.XLOOKUP(A19,政策与口径!$A$16:$A$33,政策与口径!$C$16:$C$33,"待核：未匹配",0)))</x:f>
        <x:v>待核：政策编号</x:v>
      </x:c>
      <x:c r="I19" s="23" t="n">
        <x:f>IF(ISBLANK(资产台账!G19),"",资产台账!G19)</x:f>
        <x:v>45363</x:v>
      </x:c>
      <x:c r="J19" s="23" t="str">
        <x:f>IF(ISBLANK(资产台账!H19),"",资产台账!H19)</x:f>
      </x:c>
      <x:c r="K19" s="25" t="n">
        <x:f>IF(ISBLANK(资产台账!I19),"",资产台账!I19)</x:f>
        <x:v>0</x:v>
      </x:c>
      <x:c r="L19" s="24" t="str">
        <x:f>IF(E19&lt;&gt;"可计算","待核",DATE(YEAR(I19),MONTH(I19)+1,1))</x:f>
        <x:v>待核</x:v>
      </x:c>
      <x:c r="M19" s="24" t="str">
        <x:f>IF(E19&lt;&gt;"可计算","待核",EDATE(L19,H19*12-1))</x:f>
        <x:v>待核</x:v>
      </x:c>
      <x:c r="N19" s="24" t="str">
        <x:f>IF(E19&lt;&gt;"可计算","待核",MAX(L19,DATE(YEAR(政策与口径!$B$5),MONTH(政策与口径!$B$5),1)))</x:f>
        <x:v>待核</x:v>
      </x:c>
      <x:c r="O19" s="24" t="str">
        <x:f>IF(E19&lt;&gt;"可计算","待核",MIN(M19,DATE(YEAR(政策与口径!$B$6),MONTH(政策与口径!$B$6),1),IF(J19="",DATE(YEAR(政策与口径!$B$6),MONTH(政策与口径!$B$6),1),DATE(YEAR(J19),MONTH(J19),1))))</x:f>
        <x:v>待核</x:v>
      </x:c>
      <x:c r="P19" s="30" t="str">
        <x:f>IF(E19&lt;&gt;"可计算","待核",IF(O19&lt;N19,0,DATEDIF(N19,O19,"m")+1))</x:f>
        <x:v>待核</x:v>
      </x:c>
      <x:c r="Q19" s="26" t="str">
        <x:f>IF(E19&lt;&gt;"可计算","待核",F19*(1-G19)/(H19*12))</x:f>
        <x:v>待核</x:v>
      </x:c>
      <x:c r="R19" s="26" t="str">
        <x:f>IF(E19&lt;&gt;"可计算","待核",IF(AND(J19&lt;&gt;"",J19&lt;政策与口径!$B$5),0,IF(L19&gt;EDATE(DATE(YEAR(政策与口径!$B$5),MONTH(政策与口径!$B$5),1),-1),0,ROUND(MIN(F19*(1-G19),Q19*(DATEDIF(L19,EDATE(DATE(YEAR(政策与口径!$B$5),MONTH(政策与口径!$B$5),1),-1),"m")+1)),2))))</x:f>
        <x:v>待核</x:v>
      </x:c>
      <x:c r="S19" s="27" t="str">
        <x:f>IF(E19&lt;&gt;"可计算","待核",K19-R19)</x:f>
        <x:v>待核</x:v>
      </x:c>
      <x:c r="T19" s="26" t="str">
        <x:f>IF(E19&lt;&gt;"可计算","待核",MAX(0,F19*(1-G19)-K19))</x:f>
        <x:v>待核</x:v>
      </x:c>
      <x:c r="U19" s="30" t="str">
        <x:f>IF(E19&lt;&gt;"可计算","待核",IF(MIN(O19,DATE(YEAR(政策与口径!$B$7),MONTH(政策与口径!$B$7),1))&lt;N19,0,DATEDIF(N19,MIN(O19,DATE(YEAR(政策与口径!$B$7),MONTH(政策与口径!$B$7),1)),"m")+1))</x:f>
        <x:v>待核</x:v>
      </x:c>
      <x:c r="V19" s="26" t="str">
        <x:f>IF(E19&lt;&gt;"可计算","待核",ROUND(MIN(T19,U19*Q19),2))</x:f>
        <x:v>待核</x:v>
      </x:c>
      <x:c r="W19" s="25" t="n">
        <x:f>IF(ISBLANK(资产台账!J19),"待录入",IF(ISNUMBER(资产台账!J19),资产台账!J19,"待核金额"))</x:f>
        <x:v>0</x:v>
      </x:c>
      <x:c r="X19" s="27" t="str">
        <x:f>IF(AND(E19="可计算",ISNUMBER(W19)),V19-W19,"待核")</x:f>
        <x:v>待核</x:v>
      </x:c>
      <x:c r="Y19" s="32" t="str">
        <x:f>IF(E19&lt;&gt;"可计算","待核",ROUND(MIN(T19,P19*Q19),2))</x:f>
        <x:v>待核</x:v>
      </x:c>
      <x:c r="Z19" s="46" t="str">
        <x:f>IF(ISBLANK(资产台账!K19),"待录入",IF(ISNUMBER(资产台账!K19),资产台账!K19,"待核金额"))</x:f>
        <x:v>待录入</x:v>
      </x:c>
      <x:c r="AA19" s="47" t="str">
        <x:f>IF(OR(E19&lt;&gt;"可计算",政策与口径!$B$10&lt;&gt;"终版已确认",NOT(ISNUMBER(Z19))),"待终版",Y19-Z19)</x:f>
        <x:v>待终版</x:v>
      </x:c>
      <x:c r="AB19" s="21" t="str">
        <x:f>IF(E19&lt;&gt;"可计算",E19,IF(ABS(S19)&gt;政策与口径!$B$8,"期初累计差异，先核历史",IF(NOT(ISNUMBER(Z19)),"全年实提待录入",IF(政策与口径!$B$10&lt;&gt;"终版已确认","版本待确认","待梁老师复核"))))</x:f>
        <x:v>待核：政策缺失或重复</x:v>
      </x:c>
    </x:row>
    <x:row r="20" ht="25" customHeight="1">
      <x:c r="A20" s="44" t="str">
        <x:f>资产台账!A20</x:f>
        <x:v>0013</x:v>
      </x:c>
      <x:c r="B20" s="22" t="str">
        <x:f>资产台账!B20</x:f>
        <x:v>重复台账设备甲</x:v>
      </x:c>
      <x:c r="C20" s="22" t="str">
        <x:f>资产台账!C20</x:f>
        <x:v>行政部</x:v>
      </x:c>
      <x:c r="D20" s="22" t="str">
        <x:f>资产台账!D20</x:f>
        <x:v>管理费用</x:v>
      </x:c>
      <x:c r="E20" s="21" t="str">
        <x:f>IF(A20="","待核：编号为空",IF(NOT(ISTEXT(A20)),"待核：编号非文本",IF(COUNTIFS(资产台账!$A$8:$A$26,A20)&lt;&gt;1,"待核：台账编号重复",IF(COUNTIFS(政策与口径!$A$16:$A$33,A20)&lt;&gt;1,"待核：政策缺失或重复",IF(OR(NOT(ISNUMBER(F20)),F20&lt;=0),"待核：原值格式",IF(资产台账!F20&lt;&gt;政策与口径!$B$9,"待核：金额单位",IF(OR(NOT(ISNUMBER(G20)),G20&lt;0,G20&gt;=1),"待核：残值率",IF(NOT(ISNUMBER(H20)),"待核：寿命格式",IF(OR(H20&lt;=0,MOD(H20*12,1)&lt;&gt;0),"待核：寿命",IF(NOT(ISNUMBER(I20)),"待核：可使用日期",IF(AND(J20&lt;&gt;"",OR(NOT(ISNUMBER(J20)),J20&lt;I20)),"待核：处置日期",IF(OR(NOT(ISNUMBER(K20)),K20&lt;0,K20&gt;F20*(1-G20)+政策与口径!$B$8),"待核：期初累计",IF(_xlfn.XLOOKUP(A20,政策与口径!$A$16:$A$33,政策与口径!$E$16:$E$33,"待核：未匹配",0)&lt;&gt;"示例已确认","待核：政策依据",IF(_xlfn.XLOOKUP(A20,政策与口径!$A$16:$A$33,政策与口径!$D$16:$D$33,"待核：未匹配",0)&lt;&gt;"按月直线法","待核：折旧方法","可计算"))))))))))))))</x:f>
        <x:v>待核：台账编号重复</x:v>
      </x:c>
      <x:c r="F20" s="25" t="n">
        <x:f>资产台账!E20</x:f>
        <x:v>15000</x:v>
      </x:c>
      <x:c r="G20" s="28" t="n">
        <x:f>IF(COUNTIFS(政策与口径!$A$16:$A$33,A20)&lt;&gt;1,"待核：政策编号",IF(COUNTIFS(政策与口径!$A$16:$A$33,A20,政策与口径!$B$16:$B$33,"&lt;&gt;")&lt;&gt;1,"待核：参数空白",_xlfn.XLOOKUP(A20,政策与口径!$A$16:$A$33,政策与口径!$B$16:$B$33,"待核：未匹配",0)))</x:f>
        <x:v>0.05</x:v>
      </x:c>
      <x:c r="H20" s="45" t="n">
        <x:f>IF(COUNTIFS(政策与口径!$A$16:$A$33,A20)&lt;&gt;1,"待核：政策编号",IF(COUNTIFS(政策与口径!$A$16:$A$33,A20,政策与口径!$C$16:$C$33,"&lt;&gt;")&lt;&gt;1,"待核：参数空白",_xlfn.XLOOKUP(A20,政策与口径!$A$16:$A$33,政策与口径!$C$16:$C$33,"待核：未匹配",0)))</x:f>
        <x:v>5</x:v>
      </x:c>
      <x:c r="I20" s="23" t="n">
        <x:f>IF(ISBLANK(资产台账!G20),"",资产台账!G20)</x:f>
        <x:v>45332</x:v>
      </x:c>
      <x:c r="J20" s="23" t="str">
        <x:f>IF(ISBLANK(资产台账!H20),"",资产台账!H20)</x:f>
      </x:c>
      <x:c r="K20" s="25" t="n">
        <x:f>IF(ISBLANK(资产台账!I20),"",资产台账!I20)</x:f>
        <x:v>0</x:v>
      </x:c>
      <x:c r="L20" s="24" t="str">
        <x:f>IF(E20&lt;&gt;"可计算","待核",DATE(YEAR(I20),MONTH(I20)+1,1))</x:f>
        <x:v>待核</x:v>
      </x:c>
      <x:c r="M20" s="24" t="str">
        <x:f>IF(E20&lt;&gt;"可计算","待核",EDATE(L20,H20*12-1))</x:f>
        <x:v>待核</x:v>
      </x:c>
      <x:c r="N20" s="24" t="str">
        <x:f>IF(E20&lt;&gt;"可计算","待核",MAX(L20,DATE(YEAR(政策与口径!$B$5),MONTH(政策与口径!$B$5),1)))</x:f>
        <x:v>待核</x:v>
      </x:c>
      <x:c r="O20" s="24" t="str">
        <x:f>IF(E20&lt;&gt;"可计算","待核",MIN(M20,DATE(YEAR(政策与口径!$B$6),MONTH(政策与口径!$B$6),1),IF(J20="",DATE(YEAR(政策与口径!$B$6),MONTH(政策与口径!$B$6),1),DATE(YEAR(J20),MONTH(J20),1))))</x:f>
        <x:v>待核</x:v>
      </x:c>
      <x:c r="P20" s="30" t="str">
        <x:f>IF(E20&lt;&gt;"可计算","待核",IF(O20&lt;N20,0,DATEDIF(N20,O20,"m")+1))</x:f>
        <x:v>待核</x:v>
      </x:c>
      <x:c r="Q20" s="26" t="str">
        <x:f>IF(E20&lt;&gt;"可计算","待核",F20*(1-G20)/(H20*12))</x:f>
        <x:v>待核</x:v>
      </x:c>
      <x:c r="R20" s="26" t="str">
        <x:f>IF(E20&lt;&gt;"可计算","待核",IF(AND(J20&lt;&gt;"",J20&lt;政策与口径!$B$5),0,IF(L20&gt;EDATE(DATE(YEAR(政策与口径!$B$5),MONTH(政策与口径!$B$5),1),-1),0,ROUND(MIN(F20*(1-G20),Q20*(DATEDIF(L20,EDATE(DATE(YEAR(政策与口径!$B$5),MONTH(政策与口径!$B$5),1),-1),"m")+1)),2))))</x:f>
        <x:v>待核</x:v>
      </x:c>
      <x:c r="S20" s="27" t="str">
        <x:f>IF(E20&lt;&gt;"可计算","待核",K20-R20)</x:f>
        <x:v>待核</x:v>
      </x:c>
      <x:c r="T20" s="26" t="str">
        <x:f>IF(E20&lt;&gt;"可计算","待核",MAX(0,F20*(1-G20)-K20))</x:f>
        <x:v>待核</x:v>
      </x:c>
      <x:c r="U20" s="30" t="str">
        <x:f>IF(E20&lt;&gt;"可计算","待核",IF(MIN(O20,DATE(YEAR(政策与口径!$B$7),MONTH(政策与口径!$B$7),1))&lt;N20,0,DATEDIF(N20,MIN(O20,DATE(YEAR(政策与口径!$B$7),MONTH(政策与口径!$B$7),1)),"m")+1))</x:f>
        <x:v>待核</x:v>
      </x:c>
      <x:c r="V20" s="26" t="str">
        <x:f>IF(E20&lt;&gt;"可计算","待核",ROUND(MIN(T20,U20*Q20),2))</x:f>
        <x:v>待核</x:v>
      </x:c>
      <x:c r="W20" s="25" t="n">
        <x:f>IF(ISBLANK(资产台账!J20),"待录入",IF(ISNUMBER(资产台账!J20),资产台账!J20,"待核金额"))</x:f>
        <x:v>0</x:v>
      </x:c>
      <x:c r="X20" s="27" t="str">
        <x:f>IF(AND(E20="可计算",ISNUMBER(W20)),V20-W20,"待核")</x:f>
        <x:v>待核</x:v>
      </x:c>
      <x:c r="Y20" s="32" t="str">
        <x:f>IF(E20&lt;&gt;"可计算","待核",ROUND(MIN(T20,P20*Q20),2))</x:f>
        <x:v>待核</x:v>
      </x:c>
      <x:c r="Z20" s="46" t="str">
        <x:f>IF(ISBLANK(资产台账!K20),"待录入",IF(ISNUMBER(资产台账!K20),资产台账!K20,"待核金额"))</x:f>
        <x:v>待录入</x:v>
      </x:c>
      <x:c r="AA20" s="47" t="str">
        <x:f>IF(OR(E20&lt;&gt;"可计算",政策与口径!$B$10&lt;&gt;"终版已确认",NOT(ISNUMBER(Z20))),"待终版",Y20-Z20)</x:f>
        <x:v>待终版</x:v>
      </x:c>
      <x:c r="AB20" s="21" t="str">
        <x:f>IF(E20&lt;&gt;"可计算",E20,IF(ABS(S20)&gt;政策与口径!$B$8,"期初累计差异，先核历史",IF(NOT(ISNUMBER(Z20)),"全年实提待录入",IF(政策与口径!$B$10&lt;&gt;"终版已确认","版本待确认","待梁老师复核"))))</x:f>
        <x:v>待核：台账编号重复</x:v>
      </x:c>
    </x:row>
    <x:row r="21" ht="25" customHeight="1">
      <x:c r="A21" s="44" t="str">
        <x:f>资产台账!A21</x:f>
        <x:v>0013</x:v>
      </x:c>
      <x:c r="B21" s="22" t="str">
        <x:f>资产台账!B21</x:f>
        <x:v>重复台账设备乙</x:v>
      </x:c>
      <x:c r="C21" s="22" t="str">
        <x:f>资产台账!C21</x:f>
        <x:v>行政部</x:v>
      </x:c>
      <x:c r="D21" s="22" t="str">
        <x:f>资产台账!D21</x:f>
        <x:v>管理费用</x:v>
      </x:c>
      <x:c r="E21" s="21" t="str">
        <x:f>IF(A21="","待核：编号为空",IF(NOT(ISTEXT(A21)),"待核：编号非文本",IF(COUNTIFS(资产台账!$A$8:$A$26,A21)&lt;&gt;1,"待核：台账编号重复",IF(COUNTIFS(政策与口径!$A$16:$A$33,A21)&lt;&gt;1,"待核：政策缺失或重复",IF(OR(NOT(ISNUMBER(F21)),F21&lt;=0),"待核：原值格式",IF(资产台账!F21&lt;&gt;政策与口径!$B$9,"待核：金额单位",IF(OR(NOT(ISNUMBER(G21)),G21&lt;0,G21&gt;=1),"待核：残值率",IF(NOT(ISNUMBER(H21)),"待核：寿命格式",IF(OR(H21&lt;=0,MOD(H21*12,1)&lt;&gt;0),"待核：寿命",IF(NOT(ISNUMBER(I21)),"待核：可使用日期",IF(AND(J21&lt;&gt;"",OR(NOT(ISNUMBER(J21)),J21&lt;I21)),"待核：处置日期",IF(OR(NOT(ISNUMBER(K21)),K21&lt;0,K21&gt;F21*(1-G21)+政策与口径!$B$8),"待核：期初累计",IF(_xlfn.XLOOKUP(A21,政策与口径!$A$16:$A$33,政策与口径!$E$16:$E$33,"待核：未匹配",0)&lt;&gt;"示例已确认","待核：政策依据",IF(_xlfn.XLOOKUP(A21,政策与口径!$A$16:$A$33,政策与口径!$D$16:$D$33,"待核：未匹配",0)&lt;&gt;"按月直线法","待核：折旧方法","可计算"))))))))))))))</x:f>
        <x:v>待核：台账编号重复</x:v>
      </x:c>
      <x:c r="F21" s="25" t="n">
        <x:f>资产台账!E21</x:f>
        <x:v>18000</x:v>
      </x:c>
      <x:c r="G21" s="28" t="n">
        <x:f>IF(COUNTIFS(政策与口径!$A$16:$A$33,A21)&lt;&gt;1,"待核：政策编号",IF(COUNTIFS(政策与口径!$A$16:$A$33,A21,政策与口径!$B$16:$B$33,"&lt;&gt;")&lt;&gt;1,"待核：参数空白",_xlfn.XLOOKUP(A21,政策与口径!$A$16:$A$33,政策与口径!$B$16:$B$33,"待核：未匹配",0)))</x:f>
        <x:v>0.05</x:v>
      </x:c>
      <x:c r="H21" s="45" t="n">
        <x:f>IF(COUNTIFS(政策与口径!$A$16:$A$33,A21)&lt;&gt;1,"待核：政策编号",IF(COUNTIFS(政策与口径!$A$16:$A$33,A21,政策与口径!$C$16:$C$33,"&lt;&gt;")&lt;&gt;1,"待核：参数空白",_xlfn.XLOOKUP(A21,政策与口径!$A$16:$A$33,政策与口径!$C$16:$C$33,"待核：未匹配",0)))</x:f>
        <x:v>5</x:v>
      </x:c>
      <x:c r="I21" s="23" t="n">
        <x:f>IF(ISBLANK(资产台账!G21),"",资产台账!G21)</x:f>
        <x:v>45333</x:v>
      </x:c>
      <x:c r="J21" s="23" t="str">
        <x:f>IF(ISBLANK(资产台账!H21),"",资产台账!H21)</x:f>
      </x:c>
      <x:c r="K21" s="25" t="n">
        <x:f>IF(ISBLANK(资产台账!I21),"",资产台账!I21)</x:f>
        <x:v>0</x:v>
      </x:c>
      <x:c r="L21" s="24" t="str">
        <x:f>IF(E21&lt;&gt;"可计算","待核",DATE(YEAR(I21),MONTH(I21)+1,1))</x:f>
        <x:v>待核</x:v>
      </x:c>
      <x:c r="M21" s="24" t="str">
        <x:f>IF(E21&lt;&gt;"可计算","待核",EDATE(L21,H21*12-1))</x:f>
        <x:v>待核</x:v>
      </x:c>
      <x:c r="N21" s="24" t="str">
        <x:f>IF(E21&lt;&gt;"可计算","待核",MAX(L21,DATE(YEAR(政策与口径!$B$5),MONTH(政策与口径!$B$5),1)))</x:f>
        <x:v>待核</x:v>
      </x:c>
      <x:c r="O21" s="24" t="str">
        <x:f>IF(E21&lt;&gt;"可计算","待核",MIN(M21,DATE(YEAR(政策与口径!$B$6),MONTH(政策与口径!$B$6),1),IF(J21="",DATE(YEAR(政策与口径!$B$6),MONTH(政策与口径!$B$6),1),DATE(YEAR(J21),MONTH(J21),1))))</x:f>
        <x:v>待核</x:v>
      </x:c>
      <x:c r="P21" s="30" t="str">
        <x:f>IF(E21&lt;&gt;"可计算","待核",IF(O21&lt;N21,0,DATEDIF(N21,O21,"m")+1))</x:f>
        <x:v>待核</x:v>
      </x:c>
      <x:c r="Q21" s="26" t="str">
        <x:f>IF(E21&lt;&gt;"可计算","待核",F21*(1-G21)/(H21*12))</x:f>
        <x:v>待核</x:v>
      </x:c>
      <x:c r="R21" s="26" t="str">
        <x:f>IF(E21&lt;&gt;"可计算","待核",IF(AND(J21&lt;&gt;"",J21&lt;政策与口径!$B$5),0,IF(L21&gt;EDATE(DATE(YEAR(政策与口径!$B$5),MONTH(政策与口径!$B$5),1),-1),0,ROUND(MIN(F21*(1-G21),Q21*(DATEDIF(L21,EDATE(DATE(YEAR(政策与口径!$B$5),MONTH(政策与口径!$B$5),1),-1),"m")+1)),2))))</x:f>
        <x:v>待核</x:v>
      </x:c>
      <x:c r="S21" s="27" t="str">
        <x:f>IF(E21&lt;&gt;"可计算","待核",K21-R21)</x:f>
        <x:v>待核</x:v>
      </x:c>
      <x:c r="T21" s="26" t="str">
        <x:f>IF(E21&lt;&gt;"可计算","待核",MAX(0,F21*(1-G21)-K21))</x:f>
        <x:v>待核</x:v>
      </x:c>
      <x:c r="U21" s="30" t="str">
        <x:f>IF(E21&lt;&gt;"可计算","待核",IF(MIN(O21,DATE(YEAR(政策与口径!$B$7),MONTH(政策与口径!$B$7),1))&lt;N21,0,DATEDIF(N21,MIN(O21,DATE(YEAR(政策与口径!$B$7),MONTH(政策与口径!$B$7),1)),"m")+1))</x:f>
        <x:v>待核</x:v>
      </x:c>
      <x:c r="V21" s="26" t="str">
        <x:f>IF(E21&lt;&gt;"可计算","待核",ROUND(MIN(T21,U21*Q21),2))</x:f>
        <x:v>待核</x:v>
      </x:c>
      <x:c r="W21" s="25" t="n">
        <x:f>IF(ISBLANK(资产台账!J21),"待录入",IF(ISNUMBER(资产台账!J21),资产台账!J21,"待核金额"))</x:f>
        <x:v>0</x:v>
      </x:c>
      <x:c r="X21" s="27" t="str">
        <x:f>IF(AND(E21="可计算",ISNUMBER(W21)),V21-W21,"待核")</x:f>
        <x:v>待核</x:v>
      </x:c>
      <x:c r="Y21" s="32" t="str">
        <x:f>IF(E21&lt;&gt;"可计算","待核",ROUND(MIN(T21,P21*Q21),2))</x:f>
        <x:v>待核</x:v>
      </x:c>
      <x:c r="Z21" s="46" t="str">
        <x:f>IF(ISBLANK(资产台账!K21),"待录入",IF(ISNUMBER(资产台账!K21),资产台账!K21,"待核金额"))</x:f>
        <x:v>待录入</x:v>
      </x:c>
      <x:c r="AA21" s="47" t="str">
        <x:f>IF(OR(E21&lt;&gt;"可计算",政策与口径!$B$10&lt;&gt;"终版已确认",NOT(ISNUMBER(Z21))),"待终版",Y21-Z21)</x:f>
        <x:v>待终版</x:v>
      </x:c>
      <x:c r="AB21" s="21" t="str">
        <x:f>IF(E21&lt;&gt;"可计算",E21,IF(ABS(S21)&gt;政策与口径!$B$8,"期初累计差异，先核历史",IF(NOT(ISNUMBER(Z21)),"全年实提待录入",IF(政策与口径!$B$10&lt;&gt;"终版已确认","版本待确认","待梁老师复核"))))</x:f>
        <x:v>待核：台账编号重复</x:v>
      </x:c>
    </x:row>
    <x:row r="22" ht="25" customHeight="1">
      <x:c r="A22" s="44" t="str">
        <x:f>资产台账!A22</x:f>
        <x:v>0014</x:v>
      </x:c>
      <x:c r="B22" s="22" t="str">
        <x:f>资产台账!B22</x:f>
        <x:v>文本金额设备</x:v>
      </x:c>
      <x:c r="C22" s="22" t="str">
        <x:f>资产台账!C22</x:f>
        <x:v>生产部</x:v>
      </x:c>
      <x:c r="D22" s="22" t="str">
        <x:f>资产台账!D22</x:f>
        <x:v>制造费用</x:v>
      </x:c>
      <x:c r="E22" s="21" t="str">
        <x:f>IF(A22="","待核：编号为空",IF(NOT(ISTEXT(A22)),"待核：编号非文本",IF(COUNTIFS(资产台账!$A$8:$A$26,A22)&lt;&gt;1,"待核：台账编号重复",IF(COUNTIFS(政策与口径!$A$16:$A$33,A22)&lt;&gt;1,"待核：政策缺失或重复",IF(OR(NOT(ISNUMBER(F22)),F22&lt;=0),"待核：原值格式",IF(资产台账!F22&lt;&gt;政策与口径!$B$9,"待核：金额单位",IF(OR(NOT(ISNUMBER(G22)),G22&lt;0,G22&gt;=1),"待核：残值率",IF(NOT(ISNUMBER(H22)),"待核：寿命格式",IF(OR(H22&lt;=0,MOD(H22*12,1)&lt;&gt;0),"待核：寿命",IF(NOT(ISNUMBER(I22)),"待核：可使用日期",IF(AND(J22&lt;&gt;"",OR(NOT(ISNUMBER(J22)),J22&lt;I22)),"待核：处置日期",IF(OR(NOT(ISNUMBER(K22)),K22&lt;0,K22&gt;F22*(1-G22)+政策与口径!$B$8),"待核：期初累计",IF(_xlfn.XLOOKUP(A22,政策与口径!$A$16:$A$33,政策与口径!$E$16:$E$33,"待核：未匹配",0)&lt;&gt;"示例已确认","待核：政策依据",IF(_xlfn.XLOOKUP(A22,政策与口径!$A$16:$A$33,政策与口径!$D$16:$D$33,"待核：未匹配",0)&lt;&gt;"按月直线法","待核：折旧方法","可计算"))))))))))))))</x:f>
        <x:v>待核：原值格式</x:v>
      </x:c>
      <x:c r="F22" s="25" t="str">
        <x:f>资产台账!E22</x:f>
        <x:v>80000</x:v>
      </x:c>
      <x:c r="G22" s="28" t="n">
        <x:f>IF(COUNTIFS(政策与口径!$A$16:$A$33,A22)&lt;&gt;1,"待核：政策编号",IF(COUNTIFS(政策与口径!$A$16:$A$33,A22,政策与口径!$B$16:$B$33,"&lt;&gt;")&lt;&gt;1,"待核：参数空白",_xlfn.XLOOKUP(A22,政策与口径!$A$16:$A$33,政策与口径!$B$16:$B$33,"待核：未匹配",0)))</x:f>
        <x:v>0.05</x:v>
      </x:c>
      <x:c r="H22" s="45" t="n">
        <x:f>IF(COUNTIFS(政策与口径!$A$16:$A$33,A22)&lt;&gt;1,"待核：政策编号",IF(COUNTIFS(政策与口径!$A$16:$A$33,A22,政策与口径!$C$16:$C$33,"&lt;&gt;")&lt;&gt;1,"待核：参数空白",_xlfn.XLOOKUP(A22,政策与口径!$A$16:$A$33,政策与口径!$C$16:$C$33,"待核：未匹配",0)))</x:f>
        <x:v>5</x:v>
      </x:c>
      <x:c r="I22" s="23" t="n">
        <x:f>IF(ISBLANK(资产台账!G22),"",资产台账!G22)</x:f>
        <x:v>45363</x:v>
      </x:c>
      <x:c r="J22" s="23" t="str">
        <x:f>IF(ISBLANK(资产台账!H22),"",资产台账!H22)</x:f>
      </x:c>
      <x:c r="K22" s="25" t="n">
        <x:f>IF(ISBLANK(资产台账!I22),"",资产台账!I22)</x:f>
        <x:v>0</x:v>
      </x:c>
      <x:c r="L22" s="24" t="str">
        <x:f>IF(E22&lt;&gt;"可计算","待核",DATE(YEAR(I22),MONTH(I22)+1,1))</x:f>
        <x:v>待核</x:v>
      </x:c>
      <x:c r="M22" s="24" t="str">
        <x:f>IF(E22&lt;&gt;"可计算","待核",EDATE(L22,H22*12-1))</x:f>
        <x:v>待核</x:v>
      </x:c>
      <x:c r="N22" s="24" t="str">
        <x:f>IF(E22&lt;&gt;"可计算","待核",MAX(L22,DATE(YEAR(政策与口径!$B$5),MONTH(政策与口径!$B$5),1)))</x:f>
        <x:v>待核</x:v>
      </x:c>
      <x:c r="O22" s="24" t="str">
        <x:f>IF(E22&lt;&gt;"可计算","待核",MIN(M22,DATE(YEAR(政策与口径!$B$6),MONTH(政策与口径!$B$6),1),IF(J22="",DATE(YEAR(政策与口径!$B$6),MONTH(政策与口径!$B$6),1),DATE(YEAR(J22),MONTH(J22),1))))</x:f>
        <x:v>待核</x:v>
      </x:c>
      <x:c r="P22" s="30" t="str">
        <x:f>IF(E22&lt;&gt;"可计算","待核",IF(O22&lt;N22,0,DATEDIF(N22,O22,"m")+1))</x:f>
        <x:v>待核</x:v>
      </x:c>
      <x:c r="Q22" s="26" t="str">
        <x:f>IF(E22&lt;&gt;"可计算","待核",F22*(1-G22)/(H22*12))</x:f>
        <x:v>待核</x:v>
      </x:c>
      <x:c r="R22" s="26" t="str">
        <x:f>IF(E22&lt;&gt;"可计算","待核",IF(AND(J22&lt;&gt;"",J22&lt;政策与口径!$B$5),0,IF(L22&gt;EDATE(DATE(YEAR(政策与口径!$B$5),MONTH(政策与口径!$B$5),1),-1),0,ROUND(MIN(F22*(1-G22),Q22*(DATEDIF(L22,EDATE(DATE(YEAR(政策与口径!$B$5),MONTH(政策与口径!$B$5),1),-1),"m")+1)),2))))</x:f>
        <x:v>待核</x:v>
      </x:c>
      <x:c r="S22" s="27" t="str">
        <x:f>IF(E22&lt;&gt;"可计算","待核",K22-R22)</x:f>
        <x:v>待核</x:v>
      </x:c>
      <x:c r="T22" s="26" t="str">
        <x:f>IF(E22&lt;&gt;"可计算","待核",MAX(0,F22*(1-G22)-K22))</x:f>
        <x:v>待核</x:v>
      </x:c>
      <x:c r="U22" s="30" t="str">
        <x:f>IF(E22&lt;&gt;"可计算","待核",IF(MIN(O22,DATE(YEAR(政策与口径!$B$7),MONTH(政策与口径!$B$7),1))&lt;N22,0,DATEDIF(N22,MIN(O22,DATE(YEAR(政策与口径!$B$7),MONTH(政策与口径!$B$7),1)),"m")+1))</x:f>
        <x:v>待核</x:v>
      </x:c>
      <x:c r="V22" s="26" t="str">
        <x:f>IF(E22&lt;&gt;"可计算","待核",ROUND(MIN(T22,U22*Q22),2))</x:f>
        <x:v>待核</x:v>
      </x:c>
      <x:c r="W22" s="25" t="n">
        <x:f>IF(ISBLANK(资产台账!J22),"待录入",IF(ISNUMBER(资产台账!J22),资产台账!J22,"待核金额"))</x:f>
        <x:v>0</x:v>
      </x:c>
      <x:c r="X22" s="27" t="str">
        <x:f>IF(AND(E22="可计算",ISNUMBER(W22)),V22-W22,"待核")</x:f>
        <x:v>待核</x:v>
      </x:c>
      <x:c r="Y22" s="32" t="str">
        <x:f>IF(E22&lt;&gt;"可计算","待核",ROUND(MIN(T22,P22*Q22),2))</x:f>
        <x:v>待核</x:v>
      </x:c>
      <x:c r="Z22" s="46" t="str">
        <x:f>IF(ISBLANK(资产台账!K22),"待录入",IF(ISNUMBER(资产台账!K22),资产台账!K22,"待核金额"))</x:f>
        <x:v>待录入</x:v>
      </x:c>
      <x:c r="AA22" s="47" t="str">
        <x:f>IF(OR(E22&lt;&gt;"可计算",政策与口径!$B$10&lt;&gt;"终版已确认",NOT(ISNUMBER(Z22))),"待终版",Y22-Z22)</x:f>
        <x:v>待终版</x:v>
      </x:c>
      <x:c r="AB22" s="21" t="str">
        <x:f>IF(E22&lt;&gt;"可计算",E22,IF(ABS(S22)&gt;政策与口径!$B$8,"期初累计差异，先核历史",IF(NOT(ISNUMBER(Z22)),"全年实提待录入",IF(政策与口径!$B$10&lt;&gt;"终版已确认","版本待确认","待梁老师复核"))))</x:f>
        <x:v>待核：原值格式</x:v>
      </x:c>
    </x:row>
    <x:row r="23" ht="25" customHeight="1">
      <x:c r="A23" s="44" t="str">
        <x:f>资产台账!A23</x:f>
        <x:v>0015</x:v>
      </x:c>
      <x:c r="B23" s="22" t="str">
        <x:f>资产台账!B23</x:f>
        <x:v>缺少验收日期设备</x:v>
      </x:c>
      <x:c r="C23" s="22" t="str">
        <x:f>资产台账!C23</x:f>
        <x:v>生产部</x:v>
      </x:c>
      <x:c r="D23" s="22" t="str">
        <x:f>资产台账!D23</x:f>
        <x:v>制造费用</x:v>
      </x:c>
      <x:c r="E23" s="21" t="str">
        <x:f>IF(A23="","待核：编号为空",IF(NOT(ISTEXT(A23)),"待核：编号非文本",IF(COUNTIFS(资产台账!$A$8:$A$26,A23)&lt;&gt;1,"待核：台账编号重复",IF(COUNTIFS(政策与口径!$A$16:$A$33,A23)&lt;&gt;1,"待核：政策缺失或重复",IF(OR(NOT(ISNUMBER(F23)),F23&lt;=0),"待核：原值格式",IF(资产台账!F23&lt;&gt;政策与口径!$B$9,"待核：金额单位",IF(OR(NOT(ISNUMBER(G23)),G23&lt;0,G23&gt;=1),"待核：残值率",IF(NOT(ISNUMBER(H23)),"待核：寿命格式",IF(OR(H23&lt;=0,MOD(H23*12,1)&lt;&gt;0),"待核：寿命",IF(NOT(ISNUMBER(I23)),"待核：可使用日期",IF(AND(J23&lt;&gt;"",OR(NOT(ISNUMBER(J23)),J23&lt;I23)),"待核：处置日期",IF(OR(NOT(ISNUMBER(K23)),K23&lt;0,K23&gt;F23*(1-G23)+政策与口径!$B$8),"待核：期初累计",IF(_xlfn.XLOOKUP(A23,政策与口径!$A$16:$A$33,政策与口径!$E$16:$E$33,"待核：未匹配",0)&lt;&gt;"示例已确认","待核：政策依据",IF(_xlfn.XLOOKUP(A23,政策与口径!$A$16:$A$33,政策与口径!$D$16:$D$33,"待核：未匹配",0)&lt;&gt;"按月直线法","待核：折旧方法","可计算"))))))))))))))</x:f>
        <x:v>待核：可使用日期</x:v>
      </x:c>
      <x:c r="F23" s="25" t="n">
        <x:f>资产台账!E23</x:f>
        <x:v>80000</x:v>
      </x:c>
      <x:c r="G23" s="28" t="n">
        <x:f>IF(COUNTIFS(政策与口径!$A$16:$A$33,A23)&lt;&gt;1,"待核：政策编号",IF(COUNTIFS(政策与口径!$A$16:$A$33,A23,政策与口径!$B$16:$B$33,"&lt;&gt;")&lt;&gt;1,"待核：参数空白",_xlfn.XLOOKUP(A23,政策与口径!$A$16:$A$33,政策与口径!$B$16:$B$33,"待核：未匹配",0)))</x:f>
        <x:v>0.05</x:v>
      </x:c>
      <x:c r="H23" s="45" t="n">
        <x:f>IF(COUNTIFS(政策与口径!$A$16:$A$33,A23)&lt;&gt;1,"待核：政策编号",IF(COUNTIFS(政策与口径!$A$16:$A$33,A23,政策与口径!$C$16:$C$33,"&lt;&gt;")&lt;&gt;1,"待核：参数空白",_xlfn.XLOOKUP(A23,政策与口径!$A$16:$A$33,政策与口径!$C$16:$C$33,"待核：未匹配",0)))</x:f>
        <x:v>5</x:v>
      </x:c>
      <x:c r="I23" s="23" t="str">
        <x:f>IF(ISBLANK(资产台账!G23),"",资产台账!G23)</x:f>
      </x:c>
      <x:c r="J23" s="23" t="str">
        <x:f>IF(ISBLANK(资产台账!H23),"",资产台账!H23)</x:f>
      </x:c>
      <x:c r="K23" s="25" t="n">
        <x:f>IF(ISBLANK(资产台账!I23),"",资产台账!I23)</x:f>
        <x:v>0</x:v>
      </x:c>
      <x:c r="L23" s="24" t="str">
        <x:f>IF(E23&lt;&gt;"可计算","待核",DATE(YEAR(I23),MONTH(I23)+1,1))</x:f>
        <x:v>待核</x:v>
      </x:c>
      <x:c r="M23" s="24" t="str">
        <x:f>IF(E23&lt;&gt;"可计算","待核",EDATE(L23,H23*12-1))</x:f>
        <x:v>待核</x:v>
      </x:c>
      <x:c r="N23" s="24" t="str">
        <x:f>IF(E23&lt;&gt;"可计算","待核",MAX(L23,DATE(YEAR(政策与口径!$B$5),MONTH(政策与口径!$B$5),1)))</x:f>
        <x:v>待核</x:v>
      </x:c>
      <x:c r="O23" s="24" t="str">
        <x:f>IF(E23&lt;&gt;"可计算","待核",MIN(M23,DATE(YEAR(政策与口径!$B$6),MONTH(政策与口径!$B$6),1),IF(J23="",DATE(YEAR(政策与口径!$B$6),MONTH(政策与口径!$B$6),1),DATE(YEAR(J23),MONTH(J23),1))))</x:f>
        <x:v>待核</x:v>
      </x:c>
      <x:c r="P23" s="30" t="str">
        <x:f>IF(E23&lt;&gt;"可计算","待核",IF(O23&lt;N23,0,DATEDIF(N23,O23,"m")+1))</x:f>
        <x:v>待核</x:v>
      </x:c>
      <x:c r="Q23" s="26" t="str">
        <x:f>IF(E23&lt;&gt;"可计算","待核",F23*(1-G23)/(H23*12))</x:f>
        <x:v>待核</x:v>
      </x:c>
      <x:c r="R23" s="26" t="str">
        <x:f>IF(E23&lt;&gt;"可计算","待核",IF(AND(J23&lt;&gt;"",J23&lt;政策与口径!$B$5),0,IF(L23&gt;EDATE(DATE(YEAR(政策与口径!$B$5),MONTH(政策与口径!$B$5),1),-1),0,ROUND(MIN(F23*(1-G23),Q23*(DATEDIF(L23,EDATE(DATE(YEAR(政策与口径!$B$5),MONTH(政策与口径!$B$5),1),-1),"m")+1)),2))))</x:f>
        <x:v>待核</x:v>
      </x:c>
      <x:c r="S23" s="27" t="str">
        <x:f>IF(E23&lt;&gt;"可计算","待核",K23-R23)</x:f>
        <x:v>待核</x:v>
      </x:c>
      <x:c r="T23" s="26" t="str">
        <x:f>IF(E23&lt;&gt;"可计算","待核",MAX(0,F23*(1-G23)-K23))</x:f>
        <x:v>待核</x:v>
      </x:c>
      <x:c r="U23" s="30" t="str">
        <x:f>IF(E23&lt;&gt;"可计算","待核",IF(MIN(O23,DATE(YEAR(政策与口径!$B$7),MONTH(政策与口径!$B$7),1))&lt;N23,0,DATEDIF(N23,MIN(O23,DATE(YEAR(政策与口径!$B$7),MONTH(政策与口径!$B$7),1)),"m")+1))</x:f>
        <x:v>待核</x:v>
      </x:c>
      <x:c r="V23" s="26" t="str">
        <x:f>IF(E23&lt;&gt;"可计算","待核",ROUND(MIN(T23,U23*Q23),2))</x:f>
        <x:v>待核</x:v>
      </x:c>
      <x:c r="W23" s="25" t="n">
        <x:f>IF(ISBLANK(资产台账!J23),"待录入",IF(ISNUMBER(资产台账!J23),资产台账!J23,"待核金额"))</x:f>
        <x:v>0</x:v>
      </x:c>
      <x:c r="X23" s="27" t="str">
        <x:f>IF(AND(E23="可计算",ISNUMBER(W23)),V23-W23,"待核")</x:f>
        <x:v>待核</x:v>
      </x:c>
      <x:c r="Y23" s="32" t="str">
        <x:f>IF(E23&lt;&gt;"可计算","待核",ROUND(MIN(T23,P23*Q23),2))</x:f>
        <x:v>待核</x:v>
      </x:c>
      <x:c r="Z23" s="46" t="str">
        <x:f>IF(ISBLANK(资产台账!K23),"待录入",IF(ISNUMBER(资产台账!K23),资产台账!K23,"待核金额"))</x:f>
        <x:v>待录入</x:v>
      </x:c>
      <x:c r="AA23" s="47" t="str">
        <x:f>IF(OR(E23&lt;&gt;"可计算",政策与口径!$B$10&lt;&gt;"终版已确认",NOT(ISNUMBER(Z23))),"待终版",Y23-Z23)</x:f>
        <x:v>待终版</x:v>
      </x:c>
      <x:c r="AB23" s="21" t="str">
        <x:f>IF(E23&lt;&gt;"可计算",E23,IF(ABS(S23)&gt;政策与口径!$B$8,"期初累计差异，先核历史",IF(NOT(ISNUMBER(Z23)),"全年实提待录入",IF(政策与口径!$B$10&lt;&gt;"终版已确认","版本待确认","待梁老师复核"))))</x:f>
        <x:v>待核：可使用日期</x:v>
      </x:c>
    </x:row>
    <x:row r="24" ht="25" customHeight="1">
      <x:c r="A24" s="44" t="str">
        <x:f>资产台账!A24</x:f>
        <x:v>0016</x:v>
      </x:c>
      <x:c r="B24" s="22" t="str">
        <x:f>资产台账!B24</x:f>
        <x:v>不同金额单位设备</x:v>
      </x:c>
      <x:c r="C24" s="22" t="str">
        <x:f>资产台账!C24</x:f>
        <x:v>研发部</x:v>
      </x:c>
      <x:c r="D24" s="22" t="str">
        <x:f>资产台账!D24</x:f>
        <x:v>研发费用</x:v>
      </x:c>
      <x:c r="E24" s="21" t="str">
        <x:f>IF(A24="","待核：编号为空",IF(NOT(ISTEXT(A24)),"待核：编号非文本",IF(COUNTIFS(资产台账!$A$8:$A$26,A24)&lt;&gt;1,"待核：台账编号重复",IF(COUNTIFS(政策与口径!$A$16:$A$33,A24)&lt;&gt;1,"待核：政策缺失或重复",IF(OR(NOT(ISNUMBER(F24)),F24&lt;=0),"待核：原值格式",IF(资产台账!F24&lt;&gt;政策与口径!$B$9,"待核：金额单位",IF(OR(NOT(ISNUMBER(G24)),G24&lt;0,G24&gt;=1),"待核：残值率",IF(NOT(ISNUMBER(H24)),"待核：寿命格式",IF(OR(H24&lt;=0,MOD(H24*12,1)&lt;&gt;0),"待核：寿命",IF(NOT(ISNUMBER(I24)),"待核：可使用日期",IF(AND(J24&lt;&gt;"",OR(NOT(ISNUMBER(J24)),J24&lt;I24)),"待核：处置日期",IF(OR(NOT(ISNUMBER(K24)),K24&lt;0,K24&gt;F24*(1-G24)+政策与口径!$B$8),"待核：期初累计",IF(_xlfn.XLOOKUP(A24,政策与口径!$A$16:$A$33,政策与口径!$E$16:$E$33,"待核：未匹配",0)&lt;&gt;"示例已确认","待核：政策依据",IF(_xlfn.XLOOKUP(A24,政策与口径!$A$16:$A$33,政策与口径!$D$16:$D$33,"待核：未匹配",0)&lt;&gt;"按月直线法","待核：折旧方法","可计算"))))))))))))))</x:f>
        <x:v>待核：金额单位</x:v>
      </x:c>
      <x:c r="F24" s="25" t="n">
        <x:f>资产台账!E24</x:f>
        <x:v>8</x:v>
      </x:c>
      <x:c r="G24" s="28" t="n">
        <x:f>IF(COUNTIFS(政策与口径!$A$16:$A$33,A24)&lt;&gt;1,"待核：政策编号",IF(COUNTIFS(政策与口径!$A$16:$A$33,A24,政策与口径!$B$16:$B$33,"&lt;&gt;")&lt;&gt;1,"待核：参数空白",_xlfn.XLOOKUP(A24,政策与口径!$A$16:$A$33,政策与口径!$B$16:$B$33,"待核：未匹配",0)))</x:f>
        <x:v>0.05</x:v>
      </x:c>
      <x:c r="H24" s="45" t="n">
        <x:f>IF(COUNTIFS(政策与口径!$A$16:$A$33,A24)&lt;&gt;1,"待核：政策编号",IF(COUNTIFS(政策与口径!$A$16:$A$33,A24,政策与口径!$C$16:$C$33,"&lt;&gt;")&lt;&gt;1,"待核：参数空白",_xlfn.XLOOKUP(A24,政策与口径!$A$16:$A$33,政策与口径!$C$16:$C$33,"待核：未匹配",0)))</x:f>
        <x:v>5</x:v>
      </x:c>
      <x:c r="I24" s="23" t="n">
        <x:f>IF(ISBLANK(资产台账!G24),"",资产台账!G24)</x:f>
        <x:v>45363</x:v>
      </x:c>
      <x:c r="J24" s="23" t="str">
        <x:f>IF(ISBLANK(资产台账!H24),"",资产台账!H24)</x:f>
      </x:c>
      <x:c r="K24" s="25" t="n">
        <x:f>IF(ISBLANK(资产台账!I24),"",资产台账!I24)</x:f>
        <x:v>0</x:v>
      </x:c>
      <x:c r="L24" s="24" t="str">
        <x:f>IF(E24&lt;&gt;"可计算","待核",DATE(YEAR(I24),MONTH(I24)+1,1))</x:f>
        <x:v>待核</x:v>
      </x:c>
      <x:c r="M24" s="24" t="str">
        <x:f>IF(E24&lt;&gt;"可计算","待核",EDATE(L24,H24*12-1))</x:f>
        <x:v>待核</x:v>
      </x:c>
      <x:c r="N24" s="24" t="str">
        <x:f>IF(E24&lt;&gt;"可计算","待核",MAX(L24,DATE(YEAR(政策与口径!$B$5),MONTH(政策与口径!$B$5),1)))</x:f>
        <x:v>待核</x:v>
      </x:c>
      <x:c r="O24" s="24" t="str">
        <x:f>IF(E24&lt;&gt;"可计算","待核",MIN(M24,DATE(YEAR(政策与口径!$B$6),MONTH(政策与口径!$B$6),1),IF(J24="",DATE(YEAR(政策与口径!$B$6),MONTH(政策与口径!$B$6),1),DATE(YEAR(J24),MONTH(J24),1))))</x:f>
        <x:v>待核</x:v>
      </x:c>
      <x:c r="P24" s="30" t="str">
        <x:f>IF(E24&lt;&gt;"可计算","待核",IF(O24&lt;N24,0,DATEDIF(N24,O24,"m")+1))</x:f>
        <x:v>待核</x:v>
      </x:c>
      <x:c r="Q24" s="26" t="str">
        <x:f>IF(E24&lt;&gt;"可计算","待核",F24*(1-G24)/(H24*12))</x:f>
        <x:v>待核</x:v>
      </x:c>
      <x:c r="R24" s="26" t="str">
        <x:f>IF(E24&lt;&gt;"可计算","待核",IF(AND(J24&lt;&gt;"",J24&lt;政策与口径!$B$5),0,IF(L24&gt;EDATE(DATE(YEAR(政策与口径!$B$5),MONTH(政策与口径!$B$5),1),-1),0,ROUND(MIN(F24*(1-G24),Q24*(DATEDIF(L24,EDATE(DATE(YEAR(政策与口径!$B$5),MONTH(政策与口径!$B$5),1),-1),"m")+1)),2))))</x:f>
        <x:v>待核</x:v>
      </x:c>
      <x:c r="S24" s="27" t="str">
        <x:f>IF(E24&lt;&gt;"可计算","待核",K24-R24)</x:f>
        <x:v>待核</x:v>
      </x:c>
      <x:c r="T24" s="26" t="str">
        <x:f>IF(E24&lt;&gt;"可计算","待核",MAX(0,F24*(1-G24)-K24))</x:f>
        <x:v>待核</x:v>
      </x:c>
      <x:c r="U24" s="30" t="str">
        <x:f>IF(E24&lt;&gt;"可计算","待核",IF(MIN(O24,DATE(YEAR(政策与口径!$B$7),MONTH(政策与口径!$B$7),1))&lt;N24,0,DATEDIF(N24,MIN(O24,DATE(YEAR(政策与口径!$B$7),MONTH(政策与口径!$B$7),1)),"m")+1))</x:f>
        <x:v>待核</x:v>
      </x:c>
      <x:c r="V24" s="26" t="str">
        <x:f>IF(E24&lt;&gt;"可计算","待核",ROUND(MIN(T24,U24*Q24),2))</x:f>
        <x:v>待核</x:v>
      </x:c>
      <x:c r="W24" s="25" t="n">
        <x:f>IF(ISBLANK(资产台账!J24),"待录入",IF(ISNUMBER(资产台账!J24),资产台账!J24,"待核金额"))</x:f>
        <x:v>0</x:v>
      </x:c>
      <x:c r="X24" s="27" t="str">
        <x:f>IF(AND(E24="可计算",ISNUMBER(W24)),V24-W24,"待核")</x:f>
        <x:v>待核</x:v>
      </x:c>
      <x:c r="Y24" s="32" t="str">
        <x:f>IF(E24&lt;&gt;"可计算","待核",ROUND(MIN(T24,P24*Q24),2))</x:f>
        <x:v>待核</x:v>
      </x:c>
      <x:c r="Z24" s="46" t="str">
        <x:f>IF(ISBLANK(资产台账!K24),"待录入",IF(ISNUMBER(资产台账!K24),资产台账!K24,"待核金额"))</x:f>
        <x:v>待录入</x:v>
      </x:c>
      <x:c r="AA24" s="47" t="str">
        <x:f>IF(OR(E24&lt;&gt;"可计算",政策与口径!$B$10&lt;&gt;"终版已确认",NOT(ISNUMBER(Z24))),"待终版",Y24-Z24)</x:f>
        <x:v>待终版</x:v>
      </x:c>
      <x:c r="AB24" s="21" t="str">
        <x:f>IF(E24&lt;&gt;"可计算",E24,IF(ABS(S24)&gt;政策与口径!$B$8,"期初累计差异，先核历史",IF(NOT(ISNUMBER(Z24)),"全年实提待录入",IF(政策与口径!$B$10&lt;&gt;"终版已确认","版本待确认","待梁老师复核"))))</x:f>
        <x:v>待核：金额单位</x:v>
      </x:c>
    </x:row>
    <x:row r="25" ht="25" customHeight="1">
      <x:c r="A25" s="44" t="n">
        <x:f>资产台账!A25</x:f>
        <x:v>17</x:v>
      </x:c>
      <x:c r="B25" s="22" t="str">
        <x:f>资产台账!B25</x:f>
        <x:v>前导零丢失设备</x:v>
      </x:c>
      <x:c r="C25" s="22" t="str">
        <x:f>资产台账!C25</x:f>
        <x:v>行政部</x:v>
      </x:c>
      <x:c r="D25" s="22" t="str">
        <x:f>资产台账!D25</x:f>
        <x:v>管理费用</x:v>
      </x:c>
      <x:c r="E25" s="21" t="str">
        <x:f>IF(A25="","待核：编号为空",IF(NOT(ISTEXT(A25)),"待核：编号非文本",IF(COUNTIFS(资产台账!$A$8:$A$26,A25)&lt;&gt;1,"待核：台账编号重复",IF(COUNTIFS(政策与口径!$A$16:$A$33,A25)&lt;&gt;1,"待核：政策缺失或重复",IF(OR(NOT(ISNUMBER(F25)),F25&lt;=0),"待核：原值格式",IF(资产台账!F25&lt;&gt;政策与口径!$B$9,"待核：金额单位",IF(OR(NOT(ISNUMBER(G25)),G25&lt;0,G25&gt;=1),"待核：残值率",IF(NOT(ISNUMBER(H25)),"待核：寿命格式",IF(OR(H25&lt;=0,MOD(H25*12,1)&lt;&gt;0),"待核：寿命",IF(NOT(ISNUMBER(I25)),"待核：可使用日期",IF(AND(J25&lt;&gt;"",OR(NOT(ISNUMBER(J25)),J25&lt;I25)),"待核：处置日期",IF(OR(NOT(ISNUMBER(K25)),K25&lt;0,K25&gt;F25*(1-G25)+政策与口径!$B$8),"待核：期初累计",IF(_xlfn.XLOOKUP(A25,政策与口径!$A$16:$A$33,政策与口径!$E$16:$E$33,"待核：未匹配",0)&lt;&gt;"示例已确认","待核：政策依据",IF(_xlfn.XLOOKUP(A25,政策与口径!$A$16:$A$33,政策与口径!$D$16:$D$33,"待核：未匹配",0)&lt;&gt;"按月直线法","待核：折旧方法","可计算"))))))))))))))</x:f>
        <x:v>待核：编号非文本</x:v>
      </x:c>
      <x:c r="F25" s="25" t="n">
        <x:f>资产台账!E25</x:f>
        <x:v>20000</x:v>
      </x:c>
      <x:c r="G25" s="28" t="n">
        <x:f>IF(COUNTIFS(政策与口径!$A$16:$A$33,A25)&lt;&gt;1,"待核：政策编号",IF(COUNTIFS(政策与口径!$A$16:$A$33,A25,政策与口径!$B$16:$B$33,"&lt;&gt;")&lt;&gt;1,"待核：参数空白",_xlfn.XLOOKUP(A25,政策与口径!$A$16:$A$33,政策与口径!$B$16:$B$33,"待核：未匹配",0)))</x:f>
        <x:v>0.05</x:v>
      </x:c>
      <x:c r="H25" s="45" t="n">
        <x:f>IF(COUNTIFS(政策与口径!$A$16:$A$33,A25)&lt;&gt;1,"待核：政策编号",IF(COUNTIFS(政策与口径!$A$16:$A$33,A25,政策与口径!$C$16:$C$33,"&lt;&gt;")&lt;&gt;1,"待核：参数空白",_xlfn.XLOOKUP(A25,政策与口径!$A$16:$A$33,政策与口径!$C$16:$C$33,"待核：未匹配",0)))</x:f>
        <x:v>5</x:v>
      </x:c>
      <x:c r="I25" s="23" t="n">
        <x:f>IF(ISBLANK(资产台账!G25),"",资产台账!G25)</x:f>
        <x:v>45363</x:v>
      </x:c>
      <x:c r="J25" s="23" t="str">
        <x:f>IF(ISBLANK(资产台账!H25),"",资产台账!H25)</x:f>
      </x:c>
      <x:c r="K25" s="25" t="n">
        <x:f>IF(ISBLANK(资产台账!I25),"",资产台账!I25)</x:f>
        <x:v>0</x:v>
      </x:c>
      <x:c r="L25" s="24" t="str">
        <x:f>IF(E25&lt;&gt;"可计算","待核",DATE(YEAR(I25),MONTH(I25)+1,1))</x:f>
        <x:v>待核</x:v>
      </x:c>
      <x:c r="M25" s="24" t="str">
        <x:f>IF(E25&lt;&gt;"可计算","待核",EDATE(L25,H25*12-1))</x:f>
        <x:v>待核</x:v>
      </x:c>
      <x:c r="N25" s="24" t="str">
        <x:f>IF(E25&lt;&gt;"可计算","待核",MAX(L25,DATE(YEAR(政策与口径!$B$5),MONTH(政策与口径!$B$5),1)))</x:f>
        <x:v>待核</x:v>
      </x:c>
      <x:c r="O25" s="24" t="str">
        <x:f>IF(E25&lt;&gt;"可计算","待核",MIN(M25,DATE(YEAR(政策与口径!$B$6),MONTH(政策与口径!$B$6),1),IF(J25="",DATE(YEAR(政策与口径!$B$6),MONTH(政策与口径!$B$6),1),DATE(YEAR(J25),MONTH(J25),1))))</x:f>
        <x:v>待核</x:v>
      </x:c>
      <x:c r="P25" s="30" t="str">
        <x:f>IF(E25&lt;&gt;"可计算","待核",IF(O25&lt;N25,0,DATEDIF(N25,O25,"m")+1))</x:f>
        <x:v>待核</x:v>
      </x:c>
      <x:c r="Q25" s="26" t="str">
        <x:f>IF(E25&lt;&gt;"可计算","待核",F25*(1-G25)/(H25*12))</x:f>
        <x:v>待核</x:v>
      </x:c>
      <x:c r="R25" s="26" t="str">
        <x:f>IF(E25&lt;&gt;"可计算","待核",IF(AND(J25&lt;&gt;"",J25&lt;政策与口径!$B$5),0,IF(L25&gt;EDATE(DATE(YEAR(政策与口径!$B$5),MONTH(政策与口径!$B$5),1),-1),0,ROUND(MIN(F25*(1-G25),Q25*(DATEDIF(L25,EDATE(DATE(YEAR(政策与口径!$B$5),MONTH(政策与口径!$B$5),1),-1),"m")+1)),2))))</x:f>
        <x:v>待核</x:v>
      </x:c>
      <x:c r="S25" s="27" t="str">
        <x:f>IF(E25&lt;&gt;"可计算","待核",K25-R25)</x:f>
        <x:v>待核</x:v>
      </x:c>
      <x:c r="T25" s="26" t="str">
        <x:f>IF(E25&lt;&gt;"可计算","待核",MAX(0,F25*(1-G25)-K25))</x:f>
        <x:v>待核</x:v>
      </x:c>
      <x:c r="U25" s="30" t="str">
        <x:f>IF(E25&lt;&gt;"可计算","待核",IF(MIN(O25,DATE(YEAR(政策与口径!$B$7),MONTH(政策与口径!$B$7),1))&lt;N25,0,DATEDIF(N25,MIN(O25,DATE(YEAR(政策与口径!$B$7),MONTH(政策与口径!$B$7),1)),"m")+1))</x:f>
        <x:v>待核</x:v>
      </x:c>
      <x:c r="V25" s="26" t="str">
        <x:f>IF(E25&lt;&gt;"可计算","待核",ROUND(MIN(T25,U25*Q25),2))</x:f>
        <x:v>待核</x:v>
      </x:c>
      <x:c r="W25" s="25" t="n">
        <x:f>IF(ISBLANK(资产台账!J25),"待录入",IF(ISNUMBER(资产台账!J25),资产台账!J25,"待核金额"))</x:f>
        <x:v>0</x:v>
      </x:c>
      <x:c r="X25" s="27" t="str">
        <x:f>IF(AND(E25="可计算",ISNUMBER(W25)),V25-W25,"待核")</x:f>
        <x:v>待核</x:v>
      </x:c>
      <x:c r="Y25" s="32" t="str">
        <x:f>IF(E25&lt;&gt;"可计算","待核",ROUND(MIN(T25,P25*Q25),2))</x:f>
        <x:v>待核</x:v>
      </x:c>
      <x:c r="Z25" s="46" t="str">
        <x:f>IF(ISBLANK(资产台账!K25),"待录入",IF(ISNUMBER(资产台账!K25),资产台账!K25,"待核金额"))</x:f>
        <x:v>待录入</x:v>
      </x:c>
      <x:c r="AA25" s="47" t="str">
        <x:f>IF(OR(E25&lt;&gt;"可计算",政策与口径!$B$10&lt;&gt;"终版已确认",NOT(ISNUMBER(Z25))),"待终版",Y25-Z25)</x:f>
        <x:v>待终版</x:v>
      </x:c>
      <x:c r="AB25" s="21" t="str">
        <x:f>IF(E25&lt;&gt;"可计算",E25,IF(ABS(S25)&gt;政策与口径!$B$8,"期初累计差异，先核历史",IF(NOT(ISNUMBER(Z25)),"全年实提待录入",IF(政策与口径!$B$10&lt;&gt;"终版已确认","版本待确认","待梁老师复核"))))</x:f>
        <x:v>待核：编号非文本</x:v>
      </x:c>
    </x:row>
    <x:row r="26" ht="25" customHeight="1">
      <x:c r="A26" s="44" t="str">
        <x:f>资产台账!A26</x:f>
        <x:v>0018</x:v>
      </x:c>
      <x:c r="B26" s="22" t="str">
        <x:f>资产台账!B26</x:f>
        <x:v>寿命为零设备</x:v>
      </x:c>
      <x:c r="C26" s="22" t="str">
        <x:f>资产台账!C26</x:f>
        <x:v>生产部</x:v>
      </x:c>
      <x:c r="D26" s="22" t="str">
        <x:f>资产台账!D26</x:f>
        <x:v>制造费用</x:v>
      </x:c>
      <x:c r="E26" s="21" t="str">
        <x:f>IF(A26="","待核：编号为空",IF(NOT(ISTEXT(A26)),"待核：编号非文本",IF(COUNTIFS(资产台账!$A$8:$A$26,A26)&lt;&gt;1,"待核：台账编号重复",IF(COUNTIFS(政策与口径!$A$16:$A$33,A26)&lt;&gt;1,"待核：政策缺失或重复",IF(OR(NOT(ISNUMBER(F26)),F26&lt;=0),"待核：原值格式",IF(资产台账!F26&lt;&gt;政策与口径!$B$9,"待核：金额单位",IF(OR(NOT(ISNUMBER(G26)),G26&lt;0,G26&gt;=1),"待核：残值率",IF(NOT(ISNUMBER(H26)),"待核：寿命格式",IF(OR(H26&lt;=0,MOD(H26*12,1)&lt;&gt;0),"待核：寿命",IF(NOT(ISNUMBER(I26)),"待核：可使用日期",IF(AND(J26&lt;&gt;"",OR(NOT(ISNUMBER(J26)),J26&lt;I26)),"待核：处置日期",IF(OR(NOT(ISNUMBER(K26)),K26&lt;0,K26&gt;F26*(1-G26)+政策与口径!$B$8),"待核：期初累计",IF(_xlfn.XLOOKUP(A26,政策与口径!$A$16:$A$33,政策与口径!$E$16:$E$33,"待核：未匹配",0)&lt;&gt;"示例已确认","待核：政策依据",IF(_xlfn.XLOOKUP(A26,政策与口径!$A$16:$A$33,政策与口径!$D$16:$D$33,"待核：未匹配",0)&lt;&gt;"按月直线法","待核：折旧方法","可计算"))))))))))))))</x:f>
        <x:v>待核：寿命</x:v>
      </x:c>
      <x:c r="F26" s="25" t="n">
        <x:f>资产台账!E26</x:f>
        <x:v>80000</x:v>
      </x:c>
      <x:c r="G26" s="28" t="n">
        <x:f>IF(COUNTIFS(政策与口径!$A$16:$A$33,A26)&lt;&gt;1,"待核：政策编号",IF(COUNTIFS(政策与口径!$A$16:$A$33,A26,政策与口径!$B$16:$B$33,"&lt;&gt;")&lt;&gt;1,"待核：参数空白",_xlfn.XLOOKUP(A26,政策与口径!$A$16:$A$33,政策与口径!$B$16:$B$33,"待核：未匹配",0)))</x:f>
        <x:v>0.05</x:v>
      </x:c>
      <x:c r="H26" s="45" t="n">
        <x:f>IF(COUNTIFS(政策与口径!$A$16:$A$33,A26)&lt;&gt;1,"待核：政策编号",IF(COUNTIFS(政策与口径!$A$16:$A$33,A26,政策与口径!$C$16:$C$33,"&lt;&gt;")&lt;&gt;1,"待核：参数空白",_xlfn.XLOOKUP(A26,政策与口径!$A$16:$A$33,政策与口径!$C$16:$C$33,"待核：未匹配",0)))</x:f>
        <x:v>0</x:v>
      </x:c>
      <x:c r="I26" s="23" t="n">
        <x:f>IF(ISBLANK(资产台账!G26),"",资产台账!G26)</x:f>
        <x:v>45363</x:v>
      </x:c>
      <x:c r="J26" s="23" t="str">
        <x:f>IF(ISBLANK(资产台账!H26),"",资产台账!H26)</x:f>
      </x:c>
      <x:c r="K26" s="25" t="n">
        <x:f>IF(ISBLANK(资产台账!I26),"",资产台账!I26)</x:f>
        <x:v>0</x:v>
      </x:c>
      <x:c r="L26" s="24" t="str">
        <x:f>IF(E26&lt;&gt;"可计算","待核",DATE(YEAR(I26),MONTH(I26)+1,1))</x:f>
        <x:v>待核</x:v>
      </x:c>
      <x:c r="M26" s="24" t="str">
        <x:f>IF(E26&lt;&gt;"可计算","待核",EDATE(L26,H26*12-1))</x:f>
        <x:v>待核</x:v>
      </x:c>
      <x:c r="N26" s="24" t="str">
        <x:f>IF(E26&lt;&gt;"可计算","待核",MAX(L26,DATE(YEAR(政策与口径!$B$5),MONTH(政策与口径!$B$5),1)))</x:f>
        <x:v>待核</x:v>
      </x:c>
      <x:c r="O26" s="24" t="str">
        <x:f>IF(E26&lt;&gt;"可计算","待核",MIN(M26,DATE(YEAR(政策与口径!$B$6),MONTH(政策与口径!$B$6),1),IF(J26="",DATE(YEAR(政策与口径!$B$6),MONTH(政策与口径!$B$6),1),DATE(YEAR(J26),MONTH(J26),1))))</x:f>
        <x:v>待核</x:v>
      </x:c>
      <x:c r="P26" s="30" t="str">
        <x:f>IF(E26&lt;&gt;"可计算","待核",IF(O26&lt;N26,0,DATEDIF(N26,O26,"m")+1))</x:f>
        <x:v>待核</x:v>
      </x:c>
      <x:c r="Q26" s="26" t="str">
        <x:f>IF(E26&lt;&gt;"可计算","待核",F26*(1-G26)/(H26*12))</x:f>
        <x:v>待核</x:v>
      </x:c>
      <x:c r="R26" s="26" t="str">
        <x:f>IF(E26&lt;&gt;"可计算","待核",IF(AND(J26&lt;&gt;"",J26&lt;政策与口径!$B$5),0,IF(L26&gt;EDATE(DATE(YEAR(政策与口径!$B$5),MONTH(政策与口径!$B$5),1),-1),0,ROUND(MIN(F26*(1-G26),Q26*(DATEDIF(L26,EDATE(DATE(YEAR(政策与口径!$B$5),MONTH(政策与口径!$B$5),1),-1),"m")+1)),2))))</x:f>
        <x:v>待核</x:v>
      </x:c>
      <x:c r="S26" s="27" t="str">
        <x:f>IF(E26&lt;&gt;"可计算","待核",K26-R26)</x:f>
        <x:v>待核</x:v>
      </x:c>
      <x:c r="T26" s="26" t="str">
        <x:f>IF(E26&lt;&gt;"可计算","待核",MAX(0,F26*(1-G26)-K26))</x:f>
        <x:v>待核</x:v>
      </x:c>
      <x:c r="U26" s="30" t="str">
        <x:f>IF(E26&lt;&gt;"可计算","待核",IF(MIN(O26,DATE(YEAR(政策与口径!$B$7),MONTH(政策与口径!$B$7),1))&lt;N26,0,DATEDIF(N26,MIN(O26,DATE(YEAR(政策与口径!$B$7),MONTH(政策与口径!$B$7),1)),"m")+1))</x:f>
        <x:v>待核</x:v>
      </x:c>
      <x:c r="V26" s="26" t="str">
        <x:f>IF(E26&lt;&gt;"可计算","待核",ROUND(MIN(T26,U26*Q26),2))</x:f>
        <x:v>待核</x:v>
      </x:c>
      <x:c r="W26" s="25" t="n">
        <x:f>IF(ISBLANK(资产台账!J26),"待录入",IF(ISNUMBER(资产台账!J26),资产台账!J26,"待核金额"))</x:f>
        <x:v>0</x:v>
      </x:c>
      <x:c r="X26" s="27" t="str">
        <x:f>IF(AND(E26="可计算",ISNUMBER(W26)),V26-W26,"待核")</x:f>
        <x:v>待核</x:v>
      </x:c>
      <x:c r="Y26" s="32" t="str">
        <x:f>IF(E26&lt;&gt;"可计算","待核",ROUND(MIN(T26,P26*Q26),2))</x:f>
        <x:v>待核</x:v>
      </x:c>
      <x:c r="Z26" s="46" t="str">
        <x:f>IF(ISBLANK(资产台账!K26),"待录入",IF(ISNUMBER(资产台账!K26),资产台账!K26,"待核金额"))</x:f>
        <x:v>待录入</x:v>
      </x:c>
      <x:c r="AA26" s="47" t="str">
        <x:f>IF(OR(E26&lt;&gt;"可计算",政策与口径!$B$10&lt;&gt;"终版已确认",NOT(ISNUMBER(Z26))),"待终版",Y26-Z26)</x:f>
        <x:v>待终版</x:v>
      </x:c>
      <x:c r="AB26" s="21" t="str">
        <x:f>IF(E26&lt;&gt;"可计算",E26,IF(ABS(S26)&gt;政策与口径!$B$8,"期初累计差异，先核历史",IF(NOT(ISNUMBER(Z26)),"全年实提待录入",IF(政策与口径!$B$10&lt;&gt;"终版已确认","版本待确认","待梁老师复核"))))</x:f>
        <x:v>待核：寿命</x:v>
      </x:c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</x:row>
    <x:row r="29" ht="25" customHeight="1">
      <x:c r="A29" s="2" t="str">
        <x:v>S列反映历史累计差异。Y列只算本期，受寿命、处置和剩余可折旧金额共同限制，不自动补提历史差额。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</x:row>
    <x:row r="30" ht="25" customHeight="1">
      <x:c r="A30" s="2" t="str">
        <x:v>这里使用原值、残值、原定寿命和期初账面累计；若有减值或估计变更，应另建获批后的剩余年限模型。</x:v>
      </x:c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</x:row>
  </x:sheetData>
  <x:conditionalFormatting sqref="E8:E26">
    <x:cfRule type="expression" dxfId="2" priority="1">
      <x:formula>E8&lt;&gt;"可计算"</x:formula>
    </x:cfRule>
  </x:conditionalFormatting>
  <x:conditionalFormatting sqref="S8:S26">
    <x:cfRule type="expression" dxfId="3" priority="2">
      <x:formula>AND(ISNUMBER(S8),ABS(S8)&gt;'政策与口径'!$B$8)</x:formula>
    </x:cfRule>
  </x:conditionalFormatting>
  <x:conditionalFormatting sqref="X8:X26">
    <x:cfRule type="expression" dxfId="4" priority="3">
      <x:formula>AND(ISNUMBER(X8),ABS(X8)&gt;'政策与口径'!$B$8)</x:formula>
    </x:cfRule>
  </x:conditionalFormatting>
  <x:conditionalFormatting sqref="AA8:AA26">
    <x:cfRule type="expression" dxfId="5" priority="4">
      <x:formula>AND(ISNUMBER(AA8),ABS(AA8)&gt;'政策与口径'!$B$8)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583A0"/>
  </x:sheetPr>
  <x:sheetViews>
    <x:sheetView showGridLines="0" workbookViewId="0">
      <x:pane ySplit="15" topLeftCell="A16" activePane="bottomLeft" state="frozen"/>
    </x:sheetView>
  </x:sheetViews>
  <x:sheetFormatPr defaultRowHeight="15"/>
  <x:cols>
    <x:col min="1" max="1" width="21" hidden="0" customWidth="1"/>
    <x:col min="2" max="2" width="19" hidden="0" customWidth="1"/>
    <x:col min="3" max="3" width="16" hidden="0" customWidth="1"/>
    <x:col min="4" max="4" width="23" hidden="0" customWidth="1"/>
    <x:col min="5" max="5" width="22" hidden="0" customWidth="1"/>
    <x:col min="6" max="6" width="46" hidden="0" customWidth="1"/>
    <x:col min="7" max="7" width="3" hidden="0" customWidth="1"/>
    <x:col min="8" max="8" width="7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示例政策与报告期间</x:v>
      </x:c>
      <x:c r="B2" s="2"/>
      <x:c r="C2" s="2"/>
      <x:c r="D2" s="2"/>
      <x:c r="E2" s="2"/>
      <x:c r="F2" s="2"/>
      <x:c r="G2" s="2"/>
      <x:c r="H2" s="2"/>
    </x:row>
    <x:row r="3" ht="25" customHeight="1">
      <x:c r="A3" s="2" t="str">
        <x:v>教学模拟。金额、资产、政策参数和带教确认均为虚构，不是嘉洛真实数据。</x:v>
      </x:c>
      <x:c r="B3" s="2"/>
      <x:c r="C3" s="2"/>
      <x:c r="D3" s="2"/>
      <x:c r="E3" s="2"/>
      <x:c r="F3" s="2"/>
      <x:c r="G3" s="2"/>
      <x:c r="H3" s="2"/>
    </x:row>
    <x:row r="4" ht="25" customHeight="1">
      <x:c r="A4" s="2" t="str">
        <x:v>情境工作日</x:v>
      </x:c>
      <x:c r="B4" s="6" t="d">
        <x:v>2024-12-26T00:00:00.000Z</x:v>
      </x:c>
      <x:c r="C4" s="2"/>
      <x:c r="D4" s="2" t="str">
        <x:v>算法前提</x:v>
      </x:c>
      <x:c r="E4" s="2" t="str">
        <x:v>按月直线法，固定资产次月起提</x:v>
      </x:c>
      <x:c r="F4" s="2"/>
      <x:c r="G4" s="2"/>
      <x:c r="H4" s="2"/>
    </x:row>
    <x:row r="5" ht="25" customHeight="1">
      <x:c r="A5" s="2" t="str">
        <x:v>重算期间起点</x:v>
      </x:c>
      <x:c r="B5" s="6" t="d">
        <x:v>2024-01-01T00:00:00.000Z</x:v>
      </x:c>
      <x:c r="C5" s="2"/>
      <x:c r="D5" s="2" t="str">
        <x:v>处置当月</x:v>
      </x:c>
      <x:c r="E5" s="2" t="str">
        <x:v>仍计提；次月起停止</x:v>
      </x:c>
      <x:c r="F5" s="2"/>
      <x:c r="G5" s="2"/>
      <x:c r="H5" s="2"/>
    </x:row>
    <x:row r="6" ht="25" customHeight="1">
      <x:c r="A6" s="2" t="str">
        <x:v>预计截止日</x:v>
      </x:c>
      <x:c r="B6" s="6" t="d">
        <x:v>2024-12-31T00:00:00.000Z</x:v>
      </x:c>
      <x:c r="C6" s="2"/>
      <x:c r="D6" s="2" t="str">
        <x:v>本例不涵盖</x:v>
      </x:c>
      <x:c r="E6" s="2" t="str">
        <x:v>减值、估计变更、重估与改扩建</x:v>
      </x:c>
      <x:c r="F6" s="2"/>
      <x:c r="G6" s="2"/>
      <x:c r="H6" s="2"/>
    </x:row>
    <x:row r="7" ht="25" customHeight="1">
      <x:c r="A7" s="2" t="str">
        <x:v>可比实际截止日</x:v>
      </x:c>
      <x:c r="B7" s="6" t="d">
        <x:v>2024-11-30T00:00:00.000Z</x:v>
      </x:c>
      <x:c r="C7" s="2"/>
      <x:c r="D7" s="2" t="str">
        <x:v>金额精度</x:v>
      </x:c>
      <x:c r="E7" s="2" t="str">
        <x:v>月额不先取整，期间金额保留2位</x:v>
      </x:c>
      <x:c r="F7" s="2"/>
      <x:c r="G7" s="2"/>
      <x:c r="H7" s="2"/>
    </x:row>
    <x:row r="8" ht="25" customHeight="1">
      <x:c r="A8" s="2" t="str">
        <x:v>差异提示容差（元）</x:v>
      </x:c>
      <x:c r="B8" s="7" t="n">
        <x:v>0.01</x:v>
      </x:c>
      <x:c r="C8" s="2"/>
      <x:c r="D8" s="2" t="str">
        <x:v>累计计提上限</x:v>
      </x:c>
      <x:c r="E8" s="2" t="str">
        <x:v>不得超过原值扣残值后的余额</x:v>
      </x:c>
      <x:c r="F8" s="2"/>
      <x:c r="G8" s="2"/>
      <x:c r="H8" s="2"/>
    </x:row>
    <x:row r="9" ht="25" customHeight="1">
      <x:c r="A9" s="2" t="str">
        <x:v>统一金额单位</x:v>
      </x:c>
      <x:c r="B9" s="5" t="str">
        <x:v>元</x:v>
      </x:c>
      <x:c r="C9" s="2"/>
      <x:c r="D9" s="2" t="str">
        <x:v>历史差异</x:v>
      </x:c>
      <x:c r="E9" s="2" t="str">
        <x:v>单列提示，不自动当期补提</x:v>
      </x:c>
      <x:c r="F9" s="2"/>
      <x:c r="G9" s="2"/>
      <x:c r="H9" s="2"/>
    </x:row>
    <x:row r="10" ht="25" customHeight="1">
      <x:c r="A10" s="2" t="str">
        <x:v>全年实际版本</x:v>
      </x:c>
      <x:c r="B10" s="5" t="str">
        <x:v>未结账</x:v>
      </x:c>
      <x:c r="C10" s="2"/>
      <x:c r="D10" s="2" t="str">
        <x:v>版本控制</x:v>
      </x:c>
      <x:c r="E10" s="2" t="str">
        <x:v>全年实际空白与零不同</x:v>
      </x:c>
      <x:c r="F10" s="2"/>
      <x:c r="G10" s="2"/>
      <x:c r="H10" s="2"/>
    </x:row>
    <x:row r="11" ht="25" customHeight="1">
      <x:c r="A11" s="2"/>
      <x:c r="B11" s="2"/>
      <x:c r="C11" s="2"/>
      <x:c r="D11" s="2"/>
      <x:c r="E11" s="2"/>
      <x:c r="F11" s="2"/>
      <x:c r="G11" s="2"/>
      <x:c r="H11" s="2"/>
    </x:row>
    <x:row r="12" ht="25" customHeight="1">
      <x:c r="A12" s="2" t="str">
        <x:v>蓝字黄底为可编辑输入。零残值率是有效输入，空白残值率不是零。</x:v>
      </x:c>
      <x:c r="B12" s="2"/>
      <x:c r="C12" s="2"/>
      <x:c r="D12" s="2"/>
      <x:c r="E12" s="2"/>
      <x:c r="F12" s="2"/>
      <x:c r="G12" s="2"/>
      <x:c r="H12" s="2"/>
    </x:row>
    <x:row r="13" ht="25" customHeight="1">
      <x:c r="A13" s="2" t="str">
        <x:v>参数只是梁老师在情境中确认的示例，不代表某类设备的统一寿命或税务年限。</x:v>
      </x:c>
      <x:c r="B13" s="2"/>
      <x:c r="C13" s="2"/>
      <x:c r="D13" s="2"/>
      <x:c r="E13" s="2"/>
      <x:c r="F13" s="2"/>
      <x:c r="G13" s="2"/>
      <x:c r="H13" s="2"/>
    </x:row>
    <x:row r="14" ht="25" customHeight="1">
      <x:c r="A14" s="2"/>
      <x:c r="B14" s="2"/>
      <x:c r="C14" s="2"/>
      <x:c r="D14" s="2"/>
      <x:c r="E14" s="2"/>
      <x:c r="F14" s="2"/>
      <x:c r="G14" s="2"/>
      <x:c r="H14" s="2"/>
    </x:row>
    <x:row r="15" ht="40" customHeight="1">
      <x:c r="A15" s="12" t="str">
        <x:v>资产编号（文本）</x:v>
      </x:c>
      <x:c r="B15" s="13" t="str">
        <x:v>预计残值率</x:v>
      </x:c>
      <x:c r="C15" s="13" t="str">
        <x:v>使用年限（年）</x:v>
      </x:c>
      <x:c r="D15" s="13" t="str">
        <x:v>方法</x:v>
      </x:c>
      <x:c r="E15" s="13" t="str">
        <x:v>政策状态</x:v>
      </x:c>
      <x:c r="F15" s="14" t="str">
        <x:v>依据（模拟）</x:v>
      </x:c>
      <x:c r="G15" s="2"/>
      <x:c r="H15" s="2"/>
    </x:row>
    <x:row r="16" ht="25" customHeight="1">
      <x:c r="A16" s="15" t="str">
        <x:v>0001</x:v>
      </x:c>
      <x:c r="B16" s="16" t="n">
        <x:v>0.05</x:v>
      </x:c>
      <x:c r="C16" s="48" t="n">
        <x:v>5</x:v>
      </x:c>
      <x:c r="D16" s="5" t="str">
        <x:v>按月直线法</x:v>
      </x:c>
      <x:c r="E16" s="5" t="str">
        <x:v>示例已确认</x:v>
      </x:c>
      <x:c r="F16" s="5" t="str">
        <x:v>示例政策表 P-01</x:v>
      </x:c>
      <x:c r="G16" s="2"/>
      <x:c r="H16" s="2"/>
    </x:row>
    <x:row r="17" ht="25" customHeight="1">
      <x:c r="A17" s="15" t="str">
        <x:v>0002</x:v>
      </x:c>
      <x:c r="B17" s="16" t="n">
        <x:v>0.05</x:v>
      </x:c>
      <x:c r="C17" s="48" t="n">
        <x:v>3</x:v>
      </x:c>
      <x:c r="D17" s="5" t="str">
        <x:v>按月直线法</x:v>
      </x:c>
      <x:c r="E17" s="5" t="str">
        <x:v>示例已确认</x:v>
      </x:c>
      <x:c r="F17" s="5" t="str">
        <x:v>示例政策表 P-02</x:v>
      </x:c>
      <x:c r="G17" s="2"/>
      <x:c r="H17" s="2"/>
    </x:row>
    <x:row r="18" ht="25" customHeight="1">
      <x:c r="A18" s="15" t="str">
        <x:v>0003</x:v>
      </x:c>
      <x:c r="B18" s="16" t="n">
        <x:v>0.05</x:v>
      </x:c>
      <x:c r="C18" s="48" t="n">
        <x:v>10</x:v>
      </x:c>
      <x:c r="D18" s="5" t="str">
        <x:v>按月直线法</x:v>
      </x:c>
      <x:c r="E18" s="5" t="str">
        <x:v>示例已确认</x:v>
      </x:c>
      <x:c r="F18" s="5" t="str">
        <x:v>示例政策表 P-03</x:v>
      </x:c>
      <x:c r="G18" s="2"/>
      <x:c r="H18" s="2"/>
    </x:row>
    <x:row r="19" ht="25" customHeight="1">
      <x:c r="A19" s="15" t="str">
        <x:v>0004</x:v>
      </x:c>
      <x:c r="B19" s="16" t="n">
        <x:v>0.05</x:v>
      </x:c>
      <x:c r="C19" s="48" t="n">
        <x:v>5</x:v>
      </x:c>
      <x:c r="D19" s="5" t="str">
        <x:v>按月直线法</x:v>
      </x:c>
      <x:c r="E19" s="5" t="str">
        <x:v>示例已确认</x:v>
      </x:c>
      <x:c r="F19" s="5" t="str">
        <x:v>示例政策表 P-04</x:v>
      </x:c>
      <x:c r="G19" s="2"/>
      <x:c r="H19" s="2"/>
    </x:row>
    <x:row r="20" ht="25" customHeight="1">
      <x:c r="A20" s="15" t="str">
        <x:v>0005</x:v>
      </x:c>
      <x:c r="B20" s="16" t="n">
        <x:v>0.05</x:v>
      </x:c>
      <x:c r="C20" s="48" t="n">
        <x:v>5</x:v>
      </x:c>
      <x:c r="D20" s="5" t="str">
        <x:v>按月直线法</x:v>
      </x:c>
      <x:c r="E20" s="5" t="str">
        <x:v>示例已确认</x:v>
      </x:c>
      <x:c r="F20" s="5" t="str">
        <x:v>示例政策表 P-05</x:v>
      </x:c>
      <x:c r="G20" s="2"/>
      <x:c r="H20" s="2"/>
    </x:row>
    <x:row r="21" ht="25" customHeight="1">
      <x:c r="A21" s="15" t="str">
        <x:v>0006</x:v>
      </x:c>
      <x:c r="B21" s="16" t="n">
        <x:v>0</x:v>
      </x:c>
      <x:c r="C21" s="48" t="n">
        <x:v>2</x:v>
      </x:c>
      <x:c r="D21" s="5" t="str">
        <x:v>按月直线法</x:v>
      </x:c>
      <x:c r="E21" s="5" t="str">
        <x:v>示例已确认</x:v>
      </x:c>
      <x:c r="F21" s="5" t="str">
        <x:v>示例政策表 P-06</x:v>
      </x:c>
      <x:c r="G21" s="2"/>
      <x:c r="H21" s="2"/>
    </x:row>
    <x:row r="22" ht="25" customHeight="1">
      <x:c r="A22" s="15" t="str">
        <x:v>0007</x:v>
      </x:c>
      <x:c r="B22" s="16" t="n">
        <x:v>0.05</x:v>
      </x:c>
      <x:c r="C22" s="48" t="n">
        <x:v>5</x:v>
      </x:c>
      <x:c r="D22" s="5" t="str">
        <x:v>按月直线法</x:v>
      </x:c>
      <x:c r="E22" s="5" t="str">
        <x:v>示例已确认</x:v>
      </x:c>
      <x:c r="F22" s="5" t="str">
        <x:v>示例政策表 P-07</x:v>
      </x:c>
      <x:c r="G22" s="2"/>
      <x:c r="H22" s="2"/>
    </x:row>
    <x:row r="23" ht="25" customHeight="1">
      <x:c r="A23" s="15" t="str">
        <x:v>0008</x:v>
      </x:c>
      <x:c r="B23" s="16" t="n">
        <x:v>0.05</x:v>
      </x:c>
      <x:c r="C23" s="48" t="n">
        <x:v>3</x:v>
      </x:c>
      <x:c r="D23" s="5" t="str">
        <x:v>按月直线法</x:v>
      </x:c>
      <x:c r="E23" s="5" t="str">
        <x:v>示例已确认</x:v>
      </x:c>
      <x:c r="F23" s="5" t="str">
        <x:v>示例政策表 P-08</x:v>
      </x:c>
      <x:c r="G23" s="2"/>
      <x:c r="H23" s="2"/>
    </x:row>
    <x:row r="24" ht="25" customHeight="1">
      <x:c r="A24" s="15" t="str">
        <x:v>0009</x:v>
      </x:c>
      <x:c r="B24" s="16" t="n">
        <x:v>0</x:v>
      </x:c>
      <x:c r="C24" s="48" t="n">
        <x:v>3</x:v>
      </x:c>
      <x:c r="D24" s="5" t="str">
        <x:v>按月直线法</x:v>
      </x:c>
      <x:c r="E24" s="5" t="str">
        <x:v>示例已确认</x:v>
      </x:c>
      <x:c r="F24" s="5" t="str">
        <x:v>示例政策表 P-09</x:v>
      </x:c>
      <x:c r="G24" s="2"/>
      <x:c r="H24" s="2"/>
    </x:row>
    <x:row r="25" ht="25" customHeight="1">
      <x:c r="A25" s="15" t="str">
        <x:v>0010</x:v>
      </x:c>
      <x:c r="B25" s="16" t="n">
        <x:v>0.05</x:v>
      </x:c>
      <x:c r="C25" s="48" t="n">
        <x:v>5</x:v>
      </x:c>
      <x:c r="D25" s="5" t="str">
        <x:v>按月直线法</x:v>
      </x:c>
      <x:c r="E25" s="5" t="str">
        <x:v>示例已确认</x:v>
      </x:c>
      <x:c r="F25" s="5" t="str">
        <x:v>示例政策表 P-10</x:v>
      </x:c>
      <x:c r="G25" s="2"/>
      <x:c r="H25" s="2"/>
    </x:row>
    <x:row r="26" ht="25" customHeight="1">
      <x:c r="A26" s="15" t="str">
        <x:v>0012</x:v>
      </x:c>
      <x:c r="B26" s="16" t="n">
        <x:v>0.05</x:v>
      </x:c>
      <x:c r="C26" s="48" t="n">
        <x:v>5</x:v>
      </x:c>
      <x:c r="D26" s="5" t="str">
        <x:v>按月直线法</x:v>
      </x:c>
      <x:c r="E26" s="5" t="str">
        <x:v>示例已确认</x:v>
      </x:c>
      <x:c r="F26" s="5" t="str">
        <x:v>示例政策表 P-12</x:v>
      </x:c>
      <x:c r="G26" s="2"/>
      <x:c r="H26" s="2"/>
    </x:row>
    <x:row r="27" ht="25" customHeight="1">
      <x:c r="A27" s="15" t="str">
        <x:v>0012</x:v>
      </x:c>
      <x:c r="B27" s="16" t="n">
        <x:v>0.05</x:v>
      </x:c>
      <x:c r="C27" s="48" t="n">
        <x:v>8</x:v>
      </x:c>
      <x:c r="D27" s="5" t="str">
        <x:v>按月直线法</x:v>
      </x:c>
      <x:c r="E27" s="5" t="str">
        <x:v>示例已确认</x:v>
      </x:c>
      <x:c r="F27" s="5" t="str">
        <x:v>故意重复：寿命与上一条冲突</x:v>
      </x:c>
      <x:c r="G27" s="2"/>
      <x:c r="H27" s="2"/>
    </x:row>
    <x:row r="28" ht="25" customHeight="1">
      <x:c r="A28" s="15" t="str">
        <x:v>0013</x:v>
      </x:c>
      <x:c r="B28" s="16" t="n">
        <x:v>0.05</x:v>
      </x:c>
      <x:c r="C28" s="48" t="n">
        <x:v>5</x:v>
      </x:c>
      <x:c r="D28" s="5" t="str">
        <x:v>按月直线法</x:v>
      </x:c>
      <x:c r="E28" s="5" t="str">
        <x:v>示例已确认</x:v>
      </x:c>
      <x:c r="F28" s="5" t="str">
        <x:v>示例政策表 P-13</x:v>
      </x:c>
      <x:c r="G28" s="2"/>
      <x:c r="H28" s="2"/>
    </x:row>
    <x:row r="29" ht="25" customHeight="1">
      <x:c r="A29" s="15" t="str">
        <x:v>0014</x:v>
      </x:c>
      <x:c r="B29" s="16" t="n">
        <x:v>0.05</x:v>
      </x:c>
      <x:c r="C29" s="48" t="n">
        <x:v>5</x:v>
      </x:c>
      <x:c r="D29" s="5" t="str">
        <x:v>按月直线法</x:v>
      </x:c>
      <x:c r="E29" s="5" t="str">
        <x:v>示例已确认</x:v>
      </x:c>
      <x:c r="F29" s="5" t="str">
        <x:v>示例政策表 P-14</x:v>
      </x:c>
      <x:c r="G29" s="2"/>
      <x:c r="H29" s="2"/>
    </x:row>
    <x:row r="30" ht="25" customHeight="1">
      <x:c r="A30" s="15" t="str">
        <x:v>0015</x:v>
      </x:c>
      <x:c r="B30" s="16" t="n">
        <x:v>0.05</x:v>
      </x:c>
      <x:c r="C30" s="48" t="n">
        <x:v>5</x:v>
      </x:c>
      <x:c r="D30" s="5" t="str">
        <x:v>按月直线法</x:v>
      </x:c>
      <x:c r="E30" s="5" t="str">
        <x:v>示例已确认</x:v>
      </x:c>
      <x:c r="F30" s="5" t="str">
        <x:v>示例政策表 P-15</x:v>
      </x:c>
      <x:c r="G30" s="2"/>
      <x:c r="H30" s="2"/>
    </x:row>
    <x:row r="31" ht="25" customHeight="1">
      <x:c r="A31" s="15" t="str">
        <x:v>0016</x:v>
      </x:c>
      <x:c r="B31" s="16" t="n">
        <x:v>0.05</x:v>
      </x:c>
      <x:c r="C31" s="48" t="n">
        <x:v>5</x:v>
      </x:c>
      <x:c r="D31" s="5" t="str">
        <x:v>按月直线法</x:v>
      </x:c>
      <x:c r="E31" s="5" t="str">
        <x:v>示例已确认</x:v>
      </x:c>
      <x:c r="F31" s="5" t="str">
        <x:v>示例政策表 P-16</x:v>
      </x:c>
      <x:c r="G31" s="2"/>
      <x:c r="H31" s="2"/>
    </x:row>
    <x:row r="32" ht="25" customHeight="1">
      <x:c r="A32" s="15" t="str">
        <x:v>0017</x:v>
      </x:c>
      <x:c r="B32" s="16" t="n">
        <x:v>0.05</x:v>
      </x:c>
      <x:c r="C32" s="48" t="n">
        <x:v>5</x:v>
      </x:c>
      <x:c r="D32" s="5" t="str">
        <x:v>按月直线法</x:v>
      </x:c>
      <x:c r="E32" s="5" t="str">
        <x:v>示例已确认</x:v>
      </x:c>
      <x:c r="F32" s="5" t="str">
        <x:v>示例政策表 P-17</x:v>
      </x:c>
      <x:c r="G32" s="2"/>
      <x:c r="H32" s="2"/>
    </x:row>
    <x:row r="33" ht="25" customHeight="1">
      <x:c r="A33" s="15" t="str">
        <x:v>0018</x:v>
      </x:c>
      <x:c r="B33" s="16" t="n">
        <x:v>0.05</x:v>
      </x:c>
      <x:c r="C33" s="48" t="n">
        <x:v>0</x:v>
      </x:c>
      <x:c r="D33" s="5" t="str">
        <x:v>按月直线法</x:v>
      </x:c>
      <x:c r="E33" s="5" t="str">
        <x:v>示例已确认</x:v>
      </x:c>
      <x:c r="F33" s="5" t="str">
        <x:v>示例政策表 P-18</x:v>
      </x:c>
      <x:c r="G33" s="2"/>
      <x:c r="H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</x:row>
    <x:row r="37" ht="25" customHeight="1">
      <x:c r="A37" s="18" t="str">
        <x:v>公开依据（只支持规则，不证明故事发生）</x:v>
      </x:c>
      <x:c r="B37" s="18"/>
      <x:c r="C37" s="18"/>
      <x:c r="D37" s="18"/>
      <x:c r="E37" s="18"/>
      <x:c r="F37" s="18"/>
      <x:c r="G37" s="2"/>
      <x:c r="H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</x:row>
    <x:row r="39" ht="25" customHeight="1">
      <x:c r="A39" s="2" t="str">
        <x:v>财政部固定资产答复</x:v>
      </x:c>
      <x:c r="B39" s="2"/>
      <x:c r="C39" s="2" t="str">
        <x:v>固定资产新增和减少的按月规则</x:v>
      </x:c>
      <x:c r="D39" s="2"/>
      <x:c r="E39" s="2"/>
      <x:c r="F39" s="2"/>
      <x:c r="G39" s="2"/>
      <x:c r="H39" s="2"/>
    </x:row>
    <x:row r="40" ht="25" customHeight="1">
      <x:c r="A40" s="19" t="str">
        <x:v>https://www.mof.gov.cn/bd/mhwzzxly/hjs/202312/t20231225_3923738.htm</x:v>
      </x:c>
      <x:c r="B40" s="19"/>
      <x:c r="C40" s="19"/>
      <x:c r="D40" s="19"/>
      <x:c r="E40" s="19"/>
      <x:c r="F40" s="19"/>
      <x:c r="G40" s="19"/>
      <x:c r="H40" s="19"/>
    </x:row>
    <x:row r="41" ht="25" customHeight="1">
      <x:c r="A41" s="2"/>
      <x:c r="B41" s="2"/>
      <x:c r="C41" s="2"/>
      <x:c r="D41" s="2"/>
      <x:c r="E41" s="2"/>
      <x:c r="F41" s="2"/>
      <x:c r="G41" s="2"/>
      <x:c r="H41" s="2"/>
    </x:row>
    <x:row r="42" ht="25" customHeight="1">
      <x:c r="A42" s="2" t="str">
        <x:v>企业会计准则第4号</x:v>
      </x:c>
      <x:c r="B42" s="2"/>
      <x:c r="C42" s="2" t="str">
        <x:v>折旧、残值、寿命等基础原则</x:v>
      </x:c>
      <x:c r="D42" s="2"/>
      <x:c r="E42" s="2"/>
      <x:c r="F42" s="2"/>
      <x:c r="G42" s="2"/>
      <x:c r="H42" s="2"/>
    </x:row>
    <x:row r="43" ht="25" customHeight="1">
      <x:c r="A43" s="19" t="str">
        <x:v>https://kjs.mof.gov.cn/zt/kjzzss/kuaijizhunzeshishi/200806/t20080618_46213.htm</x:v>
      </x:c>
      <x:c r="B43" s="19"/>
      <x:c r="C43" s="19"/>
      <x:c r="D43" s="19"/>
      <x:c r="E43" s="19"/>
      <x:c r="F43" s="19"/>
      <x:c r="G43" s="19"/>
      <x:c r="H43" s="19"/>
    </x:row>
    <x:row r="44" ht="25" customHeight="1">
      <x:c r="A44" s="2"/>
      <x:c r="B44" s="2"/>
      <x:c r="C44" s="2"/>
      <x:c r="D44" s="2"/>
      <x:c r="E44" s="2"/>
      <x:c r="F44" s="2"/>
      <x:c r="G44" s="2"/>
      <x:c r="H44" s="2"/>
    </x:row>
    <x:row r="45" ht="25" customHeight="1">
      <x:c r="A45" s="2" t="str">
        <x:v>企业会计准则第6号</x:v>
      </x:c>
      <x:c r="B45" s="2"/>
      <x:c r="C45" s="2" t="str">
        <x:v>可供使用起摊销、有限与不确定寿命</x:v>
      </x:c>
      <x:c r="D45" s="2"/>
      <x:c r="E45" s="2"/>
      <x:c r="F45" s="2"/>
      <x:c r="G45" s="2"/>
      <x:c r="H45" s="2"/>
    </x:row>
    <x:row r="46" ht="25" customHeight="1">
      <x:c r="A46" s="19" t="str">
        <x:v>https://kjs.mof.gov.cn/zt/kjzzss/kuaijizhunzeshishi/200806/t20080618_46242.htm</x:v>
      </x:c>
      <x:c r="B46" s="19"/>
      <x:c r="C46" s="19"/>
      <x:c r="D46" s="19"/>
      <x:c r="E46" s="19"/>
      <x:c r="F46" s="19"/>
      <x:c r="G46" s="19"/>
      <x:c r="H46" s="19"/>
    </x:row>
    <x:row r="47" ht="25" customHeight="1">
      <x:c r="A47" s="2"/>
      <x:c r="B47" s="2"/>
      <x:c r="C47" s="2"/>
      <x:c r="D47" s="2"/>
      <x:c r="E47" s="2"/>
      <x:c r="F47" s="2"/>
      <x:c r="G47" s="2"/>
      <x:c r="H47" s="2"/>
    </x:row>
    <x:row r="48" ht="25" customHeight="1">
      <x:c r="A48" s="2" t="str">
        <x:v>Microsoft DATEDIF</x:v>
      </x:c>
      <x:c r="B48" s="2"/>
      <x:c r="C48" s="2" t="str">
        <x:v>m为完整月份差，本例只对齐月初后使用</x:v>
      </x:c>
      <x:c r="D48" s="2"/>
      <x:c r="E48" s="2"/>
      <x:c r="F48" s="2"/>
      <x:c r="G48" s="2"/>
      <x:c r="H48" s="2"/>
    </x:row>
    <x:row r="49" ht="25" customHeight="1">
      <x:c r="A49" s="19" t="str">
        <x:v>https://support.microsoft.com/zh-cn/excel/functions/datedif-function</x:v>
      </x:c>
      <x:c r="B49" s="19"/>
      <x:c r="C49" s="19"/>
      <x:c r="D49" s="19"/>
      <x:c r="E49" s="19"/>
      <x:c r="F49" s="19"/>
      <x:c r="G49" s="19"/>
      <x:c r="H49" s="19"/>
    </x:row>
    <x:row r="50" ht="25" customHeight="1">
      <x:c r="A50" s="2"/>
      <x:c r="B50" s="2"/>
      <x:c r="C50" s="2"/>
      <x:c r="D50" s="2"/>
      <x:c r="E50" s="2"/>
      <x:c r="F50" s="2"/>
      <x:c r="G50" s="2"/>
      <x:c r="H50" s="2"/>
    </x:row>
    <x:row r="51" ht="25" customHeight="1">
      <x:c r="A51" s="2" t="str">
        <x:v>Microsoft XLOOKUP</x:v>
      </x:c>
      <x:c r="B51" s="2"/>
      <x:c r="C51" s="2" t="str">
        <x:v>精确匹配、未找到提示与首个匹配风险</x:v>
      </x:c>
      <x:c r="D51" s="2"/>
      <x:c r="E51" s="2"/>
      <x:c r="F51" s="2"/>
      <x:c r="G51" s="2"/>
      <x:c r="H51" s="2"/>
    </x:row>
    <x:row r="52" ht="25" customHeight="1">
      <x:c r="A52" s="19" t="str">
        <x:v>https://support.microsoft.com/zh-cn/excel/functions/xlookup-function</x:v>
      </x:c>
      <x:c r="B52" s="19"/>
      <x:c r="C52" s="19"/>
      <x:c r="D52" s="19"/>
      <x:c r="E52" s="19"/>
      <x:c r="F52" s="19"/>
      <x:c r="G52" s="19"/>
      <x:c r="H52" s="19"/>
    </x:row>
    <x:row r="53" ht="25" customHeight="1">
      <x:c r="A53" s="2"/>
      <x:c r="B53" s="2"/>
      <x:c r="C53" s="2"/>
      <x:c r="D53" s="2"/>
      <x:c r="E53" s="2"/>
      <x:c r="F53" s="2"/>
      <x:c r="G53" s="2"/>
      <x:c r="H53" s="2"/>
    </x:row>
    <x:row r="54" ht="25" customHeight="1">
      <x:c r="A54" s="2" t="str">
        <x:v>Microsoft SUMIFS</x:v>
      </x:c>
      <x:c r="B54" s="2"/>
      <x:c r="C54" s="2" t="str">
        <x:v>按多个条件汇总</x:v>
      </x:c>
      <x:c r="D54" s="2"/>
      <x:c r="E54" s="2"/>
      <x:c r="F54" s="2"/>
      <x:c r="G54" s="2"/>
      <x:c r="H54" s="2"/>
    </x:row>
    <x:row r="55" ht="25" customHeight="1">
      <x:c r="A55" s="19" t="str">
        <x:v>https://support.microsoft.com/zh-cn/excel/functions/sumifs-function</x:v>
      </x:c>
      <x:c r="B55" s="19"/>
      <x:c r="C55" s="19"/>
      <x:c r="D55" s="19"/>
      <x:c r="E55" s="19"/>
      <x:c r="F55" s="19"/>
      <x:c r="G55" s="19"/>
      <x:c r="H55" s="19"/>
    </x:row>
    <x:row r="56" ht="25" customHeight="1">
      <x:c r="A56" s="2"/>
      <x:c r="B56" s="2"/>
      <x:c r="C56" s="2"/>
      <x:c r="D56" s="2"/>
      <x:c r="E56" s="2"/>
      <x:c r="F56" s="2"/>
      <x:c r="G56" s="2"/>
      <x:c r="H56" s="2"/>
    </x:row>
    <x:row r="57" ht="25" customHeight="1">
      <x:c r="A57" s="2"/>
      <x:c r="B57" s="2"/>
      <x:c r="C57" s="2"/>
      <x:c r="D57" s="2"/>
      <x:c r="E57" s="2"/>
      <x:c r="F57" s="2"/>
      <x:c r="G57" s="2"/>
      <x:c r="H57" s="2"/>
    </x:row>
    <x:row r="58" ht="25" customHeight="1">
      <x:c r="A58" s="2"/>
      <x:c r="B58" s="2"/>
      <x:c r="C58" s="2"/>
      <x:c r="D58" s="2"/>
      <x:c r="E58" s="2"/>
      <x:c r="F58" s="2"/>
      <x:c r="G58" s="2"/>
      <x:c r="H58" s="2"/>
    </x:row>
    <x:row r="59" ht="25" customHeight="1">
      <x:c r="A59" s="2" t="str">
        <x:v>核查日：2026-10-26。建议用 Microsoft 365 / Excel 2021及以上版本，旧版可能不支持 XLOOKUP。</x:v>
      </x:c>
      <x:c r="B59" s="2"/>
      <x:c r="C59" s="2"/>
      <x:c r="D59" s="2"/>
      <x:c r="E59" s="2"/>
      <x:c r="F59" s="2"/>
      <x:c r="G59" s="2"/>
      <x:c r="H59" s="2"/>
    </x:row>
    <x:row r="60" ht="25" customHeight="1">
      <x:c r="A60" s="2"/>
      <x:c r="B60" s="2"/>
      <x:c r="C60" s="2"/>
      <x:c r="D60" s="2"/>
      <x:c r="E60" s="2"/>
      <x:c r="F60" s="2"/>
      <x:c r="G60" s="2"/>
      <x:c r="H60" s="2"/>
    </x:row>
    <x:row r="61" ht="25" customHeight="1">
      <x:c r="A61" s="2"/>
      <x:c r="B61" s="2"/>
      <x:c r="C61" s="2"/>
      <x:c r="D61" s="2"/>
      <x:c r="E61" s="2"/>
      <x:c r="F61" s="2"/>
      <x:c r="G61" s="2"/>
      <x:c r="H61" s="2"/>
    </x:row>
    <x:row r="62" ht="25" customHeight="1">
      <x:c r="A62" s="2"/>
      <x:c r="B62" s="2"/>
      <x:c r="C62" s="2"/>
      <x:c r="D62" s="2"/>
      <x:c r="E62" s="2"/>
      <x:c r="F62" s="2"/>
      <x:c r="G62" s="2"/>
      <x:c r="H62" s="2"/>
    </x:row>
    <x:row r="63" ht="25" customHeight="1">
      <x:c r="A63" s="2"/>
      <x:c r="B63" s="2"/>
      <x:c r="C63" s="2"/>
      <x:c r="D63" s="2"/>
      <x:c r="E63" s="2"/>
      <x:c r="F63" s="2"/>
      <x:c r="G63" s="2"/>
      <x:c r="H63" s="2"/>
    </x:row>
  </x:sheetData>
  <x:conditionalFormatting sqref="A16:A33">
    <x:cfRule type="expression" dxfId="0" priority="1">
      <x:formula>COUNTIFS($A$16:$A$33,A16)&gt;1</x:formula>
    </x:cfRule>
  </x:conditionalFormatting>
  <x:dataValidations count="1">
    <x:dataValidation type="list" sqref="B10">
      <x:formula1>"未结账,终版已确认"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359fee6f274a33"/>
  </x:tableParts>
</x:worksheet>
</file>

<file path=xl/worksheets/sheet4.xml><?xml version="1.0" encoding="utf-8"?>
<x:worksheet xmlns:x="http://schemas.openxmlformats.org/spreadsheetml/2006/main">
  <x:sheetPr>
    <x:tabColor rgb="FFCBB994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5" hidden="0" customWidth="1"/>
    <x:col min="4" max="4" width="18" hidden="0" customWidth="1"/>
    <x:col min="5" max="5" width="18" hidden="0" customWidth="1"/>
    <x:col min="6" max="6" width="12" hidden="0" customWidth="1"/>
    <x:col min="7" max="7" width="19" hidden="0" customWidth="1"/>
    <x:col min="8" max="8" width="19" hidden="0" customWidth="1"/>
    <x:col min="9" max="9" width="21" hidden="0" customWidth="1"/>
    <x:col min="10" max="10" width="21" hidden="0" customWidth="1"/>
    <x:col min="11" max="11" width="23" hidden="0" customWidth="1"/>
    <x:col min="12" max="12" width="28" hidden="0" customWidth="1"/>
    <x:col min="13" max="13" width="49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资产台账原始样例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2" t="str">
        <x:v>全部为教学数据。保留编号、文本金额、重复记录和单位异常；不在源表默默修正。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2" t="str">
        <x:v>I列为2024年期初累计折旧；J列为1—11月实提；K列全年实际留空，年后再录。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40" customHeight="1">
      <x:c r="A7" s="12" t="str">
        <x:v>资产编号</x:v>
      </x:c>
      <x:c r="B7" s="13" t="str">
        <x:v>资产名称</x:v>
      </x:c>
      <x:c r="C7" s="13" t="str">
        <x:v>使用部门</x:v>
      </x:c>
      <x:c r="D7" s="13" t="str">
        <x:v>计入科目</x:v>
      </x:c>
      <x:c r="E7" s="13" t="str">
        <x:v>原值</x:v>
      </x:c>
      <x:c r="F7" s="13" t="str">
        <x:v>单位</x:v>
      </x:c>
      <x:c r="G7" s="13" t="str">
        <x:v>达到可使用状态</x:v>
      </x:c>
      <x:c r="H7" s="13" t="str">
        <x:v>处置日期（可空）</x:v>
      </x:c>
      <x:c r="I7" s="13" t="str">
        <x:v>期初累计折旧</x:v>
      </x:c>
      <x:c r="J7" s="13" t="str">
        <x:v>1—11月实际折旧</x:v>
      </x:c>
      <x:c r="K7" s="13" t="str">
        <x:v>终版全年实际折旧</x:v>
      </x:c>
      <x:c r="L7" s="13" t="str">
        <x:v>证据索引（模拟）</x:v>
      </x:c>
      <x:c r="M7" s="14" t="str">
        <x:v>现场说明</x:v>
      </x:c>
    </x:row>
    <x:row r="8" ht="25" customHeight="1">
      <x:c r="A8" s="15" t="str">
        <x:v>0001</x:v>
      </x:c>
      <x:c r="B8" s="5" t="str">
        <x:v>装配测试机A</x:v>
      </x:c>
      <x:c r="C8" s="5" t="str">
        <x:v>生产部</x:v>
      </x:c>
      <x:c r="D8" s="5" t="str">
        <x:v>制造费用</x:v>
      </x:c>
      <x:c r="E8" s="20" t="n">
        <x:v>120000</x:v>
      </x:c>
      <x:c r="F8" s="48" t="str">
        <x:v>元</x:v>
      </x:c>
      <x:c r="G8" s="6" t="d">
        <x:v>2024-06-15T00:00:00.000Z</x:v>
      </x:c>
      <x:c r="H8" s="6"/>
      <x:c r="I8" s="20" t="n">
        <x:v>0</x:v>
      </x:c>
      <x:c r="J8" s="20" t="n">
        <x:v>9000</x:v>
      </x:c>
      <x:c r="K8" s="20"/>
      <x:c r="L8" s="5" t="str">
        <x:v>FA-01 / 验收单</x:v>
      </x:c>
      <x:c r="M8" s="5" t="str">
        <x:v>六月启用；账面前11月金额故意有差异</x:v>
      </x:c>
    </x:row>
    <x:row r="9" ht="25" customHeight="1">
      <x:c r="A9" s="15" t="str">
        <x:v>0002</x:v>
      </x:c>
      <x:c r="B9" s="5" t="str">
        <x:v>行政电脑</x:v>
      </x:c>
      <x:c r="C9" s="5" t="str">
        <x:v>行政部</x:v>
      </x:c>
      <x:c r="D9" s="5" t="str">
        <x:v>管理费用</x:v>
      </x:c>
      <x:c r="E9" s="20" t="n">
        <x:v>12000</x:v>
      </x:c>
      <x:c r="F9" s="48" t="str">
        <x:v>元</x:v>
      </x:c>
      <x:c r="G9" s="6" t="d">
        <x:v>2024-01-31T00:00:00.000Z</x:v>
      </x:c>
      <x:c r="H9" s="6"/>
      <x:c r="I9" s="20" t="n">
        <x:v>0</x:v>
      </x:c>
      <x:c r="J9" s="20" t="n">
        <x:v>3166.67</x:v>
      </x:c>
      <x:c r="K9" s="20"/>
      <x:c r="L9" s="5" t="str">
        <x:v>FA-02 / 验收单</x:v>
      </x:c>
      <x:c r="M9" s="5" t="str">
        <x:v>月末启用，次月开始</x:v>
      </x:c>
    </x:row>
    <x:row r="10" ht="25" customHeight="1">
      <x:c r="A10" s="15" t="str">
        <x:v>0003</x:v>
      </x:c>
      <x:c r="B10" s="5" t="str">
        <x:v>数控加工设备</x:v>
      </x:c>
      <x:c r="C10" s="5" t="str">
        <x:v>生产部</x:v>
      </x:c>
      <x:c r="D10" s="5" t="str">
        <x:v>制造费用</x:v>
      </x:c>
      <x:c r="E10" s="20" t="n">
        <x:v>240000</x:v>
      </x:c>
      <x:c r="F10" s="48" t="str">
        <x:v>元</x:v>
      </x:c>
      <x:c r="G10" s="6" t="d">
        <x:v>2021-03-10T00:00:00.000Z</x:v>
      </x:c>
      <x:c r="H10" s="6"/>
      <x:c r="I10" s="20" t="n">
        <x:v>62700</x:v>
      </x:c>
      <x:c r="J10" s="20" t="n">
        <x:v>20900</x:v>
      </x:c>
      <x:c r="K10" s="20"/>
      <x:c r="L10" s="5" t="str">
        <x:v>FA-03 / 历史台账</x:v>
      </x:c>
      <x:c r="M10" s="5" t="str">
        <x:v>以前年度购入，正常全年计提</x:v>
      </x:c>
    </x:row>
    <x:row r="11" ht="25" customHeight="1">
      <x:c r="A11" s="15" t="str">
        <x:v>0004</x:v>
      </x:c>
      <x:c r="B11" s="5" t="str">
        <x:v>已提足老机器</x:v>
      </x:c>
      <x:c r="C11" s="5" t="str">
        <x:v>生产部</x:v>
      </x:c>
      <x:c r="D11" s="5" t="str">
        <x:v>制造费用</x:v>
      </x:c>
      <x:c r="E11" s="20" t="n">
        <x:v>60000</x:v>
      </x:c>
      <x:c r="F11" s="48" t="str">
        <x:v>元</x:v>
      </x:c>
      <x:c r="G11" s="6" t="d">
        <x:v>2018-11-30T00:00:00.000Z</x:v>
      </x:c>
      <x:c r="H11" s="6"/>
      <x:c r="I11" s="20" t="n">
        <x:v>57000</x:v>
      </x:c>
      <x:c r="J11" s="20" t="n">
        <x:v>0</x:v>
      </x:c>
      <x:c r="K11" s="20"/>
      <x:c r="L11" s="5" t="str">
        <x:v>FA-04 / 历史台账</x:v>
      </x:c>
      <x:c r="M11" s="5" t="str">
        <x:v>仍在使用，但已经提足</x:v>
      </x:c>
    </x:row>
    <x:row r="12" ht="25" customHeight="1">
      <x:c r="A12" s="15" t="str">
        <x:v>0005</x:v>
      </x:c>
      <x:c r="B12" s="5" t="str">
        <x:v>十二月新设备</x:v>
      </x:c>
      <x:c r="C12" s="5" t="str">
        <x:v>研发部</x:v>
      </x:c>
      <x:c r="D12" s="5" t="str">
        <x:v>研发费用</x:v>
      </x:c>
      <x:c r="E12" s="20" t="n">
        <x:v>120000</x:v>
      </x:c>
      <x:c r="F12" s="48" t="str">
        <x:v>元</x:v>
      </x:c>
      <x:c r="G12" s="6" t="d">
        <x:v>2024-12-20T00:00:00.000Z</x:v>
      </x:c>
      <x:c r="H12" s="6"/>
      <x:c r="I12" s="20" t="n">
        <x:v>0</x:v>
      </x:c>
      <x:c r="J12" s="20" t="n">
        <x:v>0</x:v>
      </x:c>
      <x:c r="K12" s="20"/>
      <x:c r="L12" s="5" t="str">
        <x:v>FA-05 / 验收单</x:v>
      </x:c>
      <x:c r="M12" s="5" t="str">
        <x:v>次年一月才开始</x:v>
      </x:c>
    </x:row>
    <x:row r="13" ht="25" customHeight="1">
      <x:c r="A13" s="15" t="str">
        <x:v>0006</x:v>
      </x:c>
      <x:c r="B13" s="5" t="str">
        <x:v>寿命到期电脑</x:v>
      </x:c>
      <x:c r="C13" s="5" t="str">
        <x:v>行政部</x:v>
      </x:c>
      <x:c r="D13" s="5" t="str">
        <x:v>管理费用</x:v>
      </x:c>
      <x:c r="E13" s="20" t="n">
        <x:v>12000</x:v>
      </x:c>
      <x:c r="F13" s="48" t="str">
        <x:v>元</x:v>
      </x:c>
      <x:c r="G13" s="6" t="d">
        <x:v>2022-10-12T00:00:00.000Z</x:v>
      </x:c>
      <x:c r="H13" s="6"/>
      <x:c r="I13" s="20" t="n">
        <x:v>7000</x:v>
      </x:c>
      <x:c r="J13" s="20" t="n">
        <x:v>5000</x:v>
      </x:c>
      <x:c r="K13" s="20"/>
      <x:c r="L13" s="5" t="str">
        <x:v>FA-06 / 政策表</x:v>
      </x:c>
      <x:c r="M13" s="5" t="str">
        <x:v>24个月，2024年十月最后计提</x:v>
      </x:c>
    </x:row>
    <x:row r="14" ht="25" customHeight="1">
      <x:c r="A14" s="15" t="str">
        <x:v>0007</x:v>
      </x:c>
      <x:c r="B14" s="5" t="str">
        <x:v>五月处置打印机</x:v>
      </x:c>
      <x:c r="C14" s="5" t="str">
        <x:v>行政部</x:v>
      </x:c>
      <x:c r="D14" s="5" t="str">
        <x:v>管理费用</x:v>
      </x:c>
      <x:c r="E14" s="20" t="n">
        <x:v>24000</x:v>
      </x:c>
      <x:c r="F14" s="48" t="str">
        <x:v>元</x:v>
      </x:c>
      <x:c r="G14" s="6" t="d">
        <x:v>2022-08-01T00:00:00.000Z</x:v>
      </x:c>
      <x:c r="H14" s="6" t="d">
        <x:v>2024-05-17T00:00:00.000Z</x:v>
      </x:c>
      <x:c r="I14" s="20" t="n">
        <x:v>6080</x:v>
      </x:c>
      <x:c r="J14" s="20" t="n">
        <x:v>1900</x:v>
      </x:c>
      <x:c r="K14" s="20"/>
      <x:c r="L14" s="5" t="str">
        <x:v>FA-07 / 处置单</x:v>
      </x:c>
      <x:c r="M14" s="5" t="str">
        <x:v>五月仍提，六月停止</x:v>
      </x:c>
    </x:row>
    <x:row r="15" ht="25" customHeight="1">
      <x:c r="A15" s="15" t="str">
        <x:v>0008</x:v>
      </x:c>
      <x:c r="B15" s="5" t="str">
        <x:v>上年处置设备</x:v>
      </x:c>
      <x:c r="C15" s="5" t="str">
        <x:v>生产部</x:v>
      </x:c>
      <x:c r="D15" s="5" t="str">
        <x:v>制造费用</x:v>
      </x:c>
      <x:c r="E15" s="20" t="n">
        <x:v>36000</x:v>
      </x:c>
      <x:c r="F15" s="48" t="str">
        <x:v>元</x:v>
      </x:c>
      <x:c r="G15" s="6" t="d">
        <x:v>2020-11-30T00:00:00.000Z</x:v>
      </x:c>
      <x:c r="H15" s="6" t="d">
        <x:v>2023-11-08T00:00:00.000Z</x:v>
      </x:c>
      <x:c r="I15" s="20" t="n">
        <x:v>0</x:v>
      </x:c>
      <x:c r="J15" s="20" t="n">
        <x:v>0</x:v>
      </x:c>
      <x:c r="K15" s="20"/>
      <x:c r="L15" s="5" t="str">
        <x:v>FA-08 / 处置单</x:v>
      </x:c>
      <x:c r="M15" s="5" t="str">
        <x:v>保留作边界测试；本年不在册</x:v>
      </x:c>
    </x:row>
    <x:row r="16" ht="25" customHeight="1">
      <x:c r="A16" s="15" t="str">
        <x:v>0009</x:v>
      </x:c>
      <x:c r="B16" s="5" t="str">
        <x:v>最后一年小设备</x:v>
      </x:c>
      <x:c r="C16" s="5" t="str">
        <x:v>研发部</x:v>
      </x:c>
      <x:c r="D16" s="5" t="str">
        <x:v>研发费用</x:v>
      </x:c>
      <x:c r="E16" s="20" t="n">
        <x:v>10000</x:v>
      </x:c>
      <x:c r="F16" s="48" t="str">
        <x:v>元</x:v>
      </x:c>
      <x:c r="G16" s="6" t="d">
        <x:v>2021-12-15T00:00:00.000Z</x:v>
      </x:c>
      <x:c r="H16" s="6"/>
      <x:c r="I16" s="20" t="n">
        <x:v>6666.72</x:v>
      </x:c>
      <x:c r="J16" s="20" t="n">
        <x:v>3055.58</x:v>
      </x:c>
      <x:c r="K16" s="20"/>
      <x:c r="L16" s="5" t="str">
        <x:v>FA-09 / 历史台账</x:v>
      </x:c>
      <x:c r="M16" s="5" t="str">
        <x:v>历史逐月四舍五入，最后一年扣剩余上限</x:v>
      </x:c>
    </x:row>
    <x:row r="17" ht="25" customHeight="1">
      <x:c r="A17" s="15" t="str">
        <x:v>0010</x:v>
      </x:c>
      <x:c r="B17" s="5" t="str">
        <x:v>有历史差额的机器</x:v>
      </x:c>
      <x:c r="C17" s="5" t="str">
        <x:v>生产部</x:v>
      </x:c>
      <x:c r="D17" s="5" t="str">
        <x:v>制造费用</x:v>
      </x:c>
      <x:c r="E17" s="20" t="n">
        <x:v>60000</x:v>
      </x:c>
      <x:c r="F17" s="48" t="str">
        <x:v>元</x:v>
      </x:c>
      <x:c r="G17" s="6" t="d">
        <x:v>2019-11-20T00:00:00.000Z</x:v>
      </x:c>
      <x:c r="H17" s="6"/>
      <x:c r="I17" s="20" t="n">
        <x:v>45000</x:v>
      </x:c>
      <x:c r="J17" s="20" t="n">
        <x:v>10450</x:v>
      </x:c>
      <x:c r="K17" s="20"/>
      <x:c r="L17" s="5" t="str">
        <x:v>FA-10 / 待复核</x:v>
      </x:c>
      <x:c r="M17" s="5" t="str">
        <x:v>期初与理论累计不同，不自动补历史差额</x:v>
      </x:c>
    </x:row>
    <x:row r="18" ht="25" customHeight="1">
      <x:c r="A18" s="15" t="str">
        <x:v>0011</x:v>
      </x:c>
      <x:c r="B18" s="5" t="str">
        <x:v>政策缺失设备</x:v>
      </x:c>
      <x:c r="C18" s="5" t="str">
        <x:v>生产部</x:v>
      </x:c>
      <x:c r="D18" s="5" t="str">
        <x:v>制造费用</x:v>
      </x:c>
      <x:c r="E18" s="20" t="n">
        <x:v>80000</x:v>
      </x:c>
      <x:c r="F18" s="48" t="str">
        <x:v>元</x:v>
      </x:c>
      <x:c r="G18" s="6" t="d">
        <x:v>2024-03-12T00:00:00.000Z</x:v>
      </x:c>
      <x:c r="H18" s="6"/>
      <x:c r="I18" s="20" t="n">
        <x:v>0</x:v>
      </x:c>
      <x:c r="J18" s="20" t="n">
        <x:v>0</x:v>
      </x:c>
      <x:c r="K18" s="20"/>
      <x:c r="L18" s="5" t="str">
        <x:v>FA-11 / 待政策</x:v>
      </x:c>
      <x:c r="M18" s="5" t="str">
        <x:v>编号在政策表找不到</x:v>
      </x:c>
    </x:row>
    <x:row r="19" ht="25" customHeight="1">
      <x:c r="A19" s="15" t="str">
        <x:v>0012</x:v>
      </x:c>
      <x:c r="B19" s="5" t="str">
        <x:v>政策冲突设备</x:v>
      </x:c>
      <x:c r="C19" s="5" t="str">
        <x:v>生产部</x:v>
      </x:c>
      <x:c r="D19" s="5" t="str">
        <x:v>制造费用</x:v>
      </x:c>
      <x:c r="E19" s="20" t="n">
        <x:v>80000</x:v>
      </x:c>
      <x:c r="F19" s="48" t="str">
        <x:v>元</x:v>
      </x:c>
      <x:c r="G19" s="6" t="d">
        <x:v>2024-03-12T00:00:00.000Z</x:v>
      </x:c>
      <x:c r="H19" s="6"/>
      <x:c r="I19" s="20" t="n">
        <x:v>0</x:v>
      </x:c>
      <x:c r="J19" s="20" t="n">
        <x:v>0</x:v>
      </x:c>
      <x:c r="K19" s="20"/>
      <x:c r="L19" s="5" t="str">
        <x:v>FA-12 / 待澄清</x:v>
      </x:c>
      <x:c r="M19" s="5" t="str">
        <x:v>政策同一编号出现两次</x:v>
      </x:c>
    </x:row>
    <x:row r="20" ht="25" customHeight="1">
      <x:c r="A20" s="15" t="str">
        <x:v>0013</x:v>
      </x:c>
      <x:c r="B20" s="5" t="str">
        <x:v>重复台账设备甲</x:v>
      </x:c>
      <x:c r="C20" s="5" t="str">
        <x:v>行政部</x:v>
      </x:c>
      <x:c r="D20" s="5" t="str">
        <x:v>管理费用</x:v>
      </x:c>
      <x:c r="E20" s="20" t="n">
        <x:v>15000</x:v>
      </x:c>
      <x:c r="F20" s="48" t="str">
        <x:v>元</x:v>
      </x:c>
      <x:c r="G20" s="6" t="d">
        <x:v>2024-02-10T00:00:00.000Z</x:v>
      </x:c>
      <x:c r="H20" s="6"/>
      <x:c r="I20" s="20" t="n">
        <x:v>0</x:v>
      </x:c>
      <x:c r="J20" s="20" t="n">
        <x:v>0</x:v>
      </x:c>
      <x:c r="K20" s="20"/>
      <x:c r="L20" s="5" t="str">
        <x:v>FA-13A</x:v>
      </x:c>
      <x:c r="M20" s="5" t="str">
        <x:v>不能擅自删除其中一条</x:v>
      </x:c>
    </x:row>
    <x:row r="21" ht="25" customHeight="1">
      <x:c r="A21" s="15" t="str">
        <x:v>0013</x:v>
      </x:c>
      <x:c r="B21" s="5" t="str">
        <x:v>重复台账设备乙</x:v>
      </x:c>
      <x:c r="C21" s="5" t="str">
        <x:v>行政部</x:v>
      </x:c>
      <x:c r="D21" s="5" t="str">
        <x:v>管理费用</x:v>
      </x:c>
      <x:c r="E21" s="20" t="n">
        <x:v>18000</x:v>
      </x:c>
      <x:c r="F21" s="48" t="str">
        <x:v>元</x:v>
      </x:c>
      <x:c r="G21" s="6" t="d">
        <x:v>2024-02-11T00:00:00.000Z</x:v>
      </x:c>
      <x:c r="H21" s="6"/>
      <x:c r="I21" s="20" t="n">
        <x:v>0</x:v>
      </x:c>
      <x:c r="J21" s="20" t="n">
        <x:v>0</x:v>
      </x:c>
      <x:c r="K21" s="20"/>
      <x:c r="L21" s="5" t="str">
        <x:v>FA-13B</x:v>
      </x:c>
      <x:c r="M21" s="5" t="str">
        <x:v>先查编号是否串号</x:v>
      </x:c>
    </x:row>
    <x:row r="22" ht="25" customHeight="1">
      <x:c r="A22" s="15" t="str">
        <x:v>0014</x:v>
      </x:c>
      <x:c r="B22" s="5" t="str">
        <x:v>文本金额设备</x:v>
      </x:c>
      <x:c r="C22" s="5" t="str">
        <x:v>生产部</x:v>
      </x:c>
      <x:c r="D22" s="5" t="str">
        <x:v>制造费用</x:v>
      </x:c>
      <x:c r="E22" s="20" t="str">
        <x:v>80000</x:v>
      </x:c>
      <x:c r="F22" s="48" t="str">
        <x:v>元</x:v>
      </x:c>
      <x:c r="G22" s="6" t="d">
        <x:v>2024-03-12T00:00:00.000Z</x:v>
      </x:c>
      <x:c r="H22" s="6"/>
      <x:c r="I22" s="20" t="n">
        <x:v>0</x:v>
      </x:c>
      <x:c r="J22" s="20" t="n">
        <x:v>0</x:v>
      </x:c>
      <x:c r="K22" s="20"/>
      <x:c r="L22" s="5" t="str">
        <x:v>FA-14</x:v>
      </x:c>
      <x:c r="M22" s="5" t="str">
        <x:v>原值看似数字，实际是文本</x:v>
      </x:c>
    </x:row>
    <x:row r="23" ht="25" customHeight="1">
      <x:c r="A23" s="15" t="str">
        <x:v>0015</x:v>
      </x:c>
      <x:c r="B23" s="5" t="str">
        <x:v>缺少验收日期设备</x:v>
      </x:c>
      <x:c r="C23" s="5" t="str">
        <x:v>生产部</x:v>
      </x:c>
      <x:c r="D23" s="5" t="str">
        <x:v>制造费用</x:v>
      </x:c>
      <x:c r="E23" s="20" t="n">
        <x:v>80000</x:v>
      </x:c>
      <x:c r="F23" s="48" t="str">
        <x:v>元</x:v>
      </x:c>
      <x:c r="G23" s="6"/>
      <x:c r="H23" s="6"/>
      <x:c r="I23" s="20" t="n">
        <x:v>0</x:v>
      </x:c>
      <x:c r="J23" s="20" t="n">
        <x:v>0</x:v>
      </x:c>
      <x:c r="K23" s="20"/>
      <x:c r="L23" s="5" t="str">
        <x:v>FA-15</x:v>
      </x:c>
      <x:c r="M23" s="5" t="str">
        <x:v>缺日期，不能当1900年计算</x:v>
      </x:c>
    </x:row>
    <x:row r="24" ht="25" customHeight="1">
      <x:c r="A24" s="15" t="str">
        <x:v>0016</x:v>
      </x:c>
      <x:c r="B24" s="5" t="str">
        <x:v>不同金额单位设备</x:v>
      </x:c>
      <x:c r="C24" s="5" t="str">
        <x:v>研发部</x:v>
      </x:c>
      <x:c r="D24" s="5" t="str">
        <x:v>研发费用</x:v>
      </x:c>
      <x:c r="E24" s="20" t="n">
        <x:v>8</x:v>
      </x:c>
      <x:c r="F24" s="48" t="str">
        <x:v>万元</x:v>
      </x:c>
      <x:c r="G24" s="6" t="d">
        <x:v>2024-03-12T00:00:00.000Z</x:v>
      </x:c>
      <x:c r="H24" s="6"/>
      <x:c r="I24" s="20" t="n">
        <x:v>0</x:v>
      </x:c>
      <x:c r="J24" s="20" t="n">
        <x:v>0</x:v>
      </x:c>
      <x:c r="K24" s="20"/>
      <x:c r="L24" s="5" t="str">
        <x:v>FA-16</x:v>
      </x:c>
      <x:c r="M24" s="5" t="str">
        <x:v>先确认单位，不自动乘一万</x:v>
      </x:c>
    </x:row>
    <x:row r="25" ht="25" customHeight="1">
      <x:c r="A25" s="15" t="n">
        <x:v>17</x:v>
      </x:c>
      <x:c r="B25" s="5" t="str">
        <x:v>前导零丢失设备</x:v>
      </x:c>
      <x:c r="C25" s="5" t="str">
        <x:v>行政部</x:v>
      </x:c>
      <x:c r="D25" s="5" t="str">
        <x:v>管理费用</x:v>
      </x:c>
      <x:c r="E25" s="20" t="n">
        <x:v>20000</x:v>
      </x:c>
      <x:c r="F25" s="48" t="str">
        <x:v>元</x:v>
      </x:c>
      <x:c r="G25" s="6" t="d">
        <x:v>2024-03-12T00:00:00.000Z</x:v>
      </x:c>
      <x:c r="H25" s="6"/>
      <x:c r="I25" s="20" t="n">
        <x:v>0</x:v>
      </x:c>
      <x:c r="J25" s="20" t="n">
        <x:v>0</x:v>
      </x:c>
      <x:c r="K25" s="20"/>
      <x:c r="L25" s="5" t="str">
        <x:v>FA-17</x:v>
      </x:c>
      <x:c r="M25" s="5" t="str">
        <x:v>源编号是数值17，政策是文本0017</x:v>
      </x:c>
    </x:row>
    <x:row r="26" ht="25" customHeight="1">
      <x:c r="A26" s="15" t="str">
        <x:v>0018</x:v>
      </x:c>
      <x:c r="B26" s="5" t="str">
        <x:v>寿命为零设备</x:v>
      </x:c>
      <x:c r="C26" s="5" t="str">
        <x:v>生产部</x:v>
      </x:c>
      <x:c r="D26" s="5" t="str">
        <x:v>制造费用</x:v>
      </x:c>
      <x:c r="E26" s="20" t="n">
        <x:v>80000</x:v>
      </x:c>
      <x:c r="F26" s="48" t="str">
        <x:v>元</x:v>
      </x:c>
      <x:c r="G26" s="6" t="d">
        <x:v>2024-03-12T00:00:00.000Z</x:v>
      </x:c>
      <x:c r="H26" s="6"/>
      <x:c r="I26" s="20" t="n">
        <x:v>0</x:v>
      </x:c>
      <x:c r="J26" s="20" t="n">
        <x:v>0</x:v>
      </x:c>
      <x:c r="K26" s="20"/>
      <x:c r="L26" s="5" t="str">
        <x:v>FA-18</x:v>
      </x:c>
      <x:c r="M26" s="5" t="str">
        <x:v>寿命异常，不能除以零</x:v>
      </x:c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</x:row>
    <x:row r="30" ht="25" customHeight="1">
      <x:c r="A30" s="18" t="str">
        <x:v>总账科目对照样例：只覆盖编号0001—0010的同一选样范围</x:v>
      </x:c>
      <x:c r="B30" s="18"/>
      <x:c r="C30" s="18"/>
      <x:c r="D30" s="18"/>
      <x:c r="E30" s="2"/>
      <x:c r="F30" s="2"/>
      <x:c r="G30" s="2"/>
      <x:c r="H30" s="2"/>
      <x:c r="I30" s="2"/>
      <x:c r="J30" s="2"/>
      <x:c r="K30" s="2"/>
      <x:c r="L30" s="2"/>
      <x:c r="M30" s="2"/>
    </x:row>
    <x:row r="31" ht="40" customHeight="1">
      <x:c r="A31" s="12" t="str">
        <x:v>折旧计入科目</x:v>
      </x:c>
      <x:c r="B31" s="13" t="str">
        <x:v>1—11月借方折旧额</x:v>
      </x:c>
      <x:c r="C31" s="13" t="str">
        <x:v>全年终版折旧额</x:v>
      </x:c>
      <x:c r="D31" s="14" t="str">
        <x:v>依据（模拟）</x:v>
      </x:c>
      <x:c r="E31" s="2"/>
      <x:c r="F31" s="2"/>
      <x:c r="G31" s="2"/>
      <x:c r="H31" s="2"/>
      <x:c r="I31" s="2"/>
      <x:c r="J31" s="2"/>
      <x:c r="K31" s="2"/>
      <x:c r="L31" s="2"/>
      <x:c r="M31" s="2"/>
    </x:row>
    <x:row r="32" ht="25" customHeight="1">
      <x:c r="A32" s="2" t="str">
        <x:v>制造费用</x:v>
      </x:c>
      <x:c r="B32" s="20" t="n">
        <x:v>40350</x:v>
      </x:c>
      <x:c r="C32" s="20"/>
      <x:c r="D32" s="2" t="str">
        <x:v>GL-01 同范围选样</x:v>
      </x:c>
      <x:c r="E32" s="2"/>
      <x:c r="F32" s="2"/>
      <x:c r="G32" s="2"/>
      <x:c r="H32" s="2"/>
      <x:c r="I32" s="2"/>
      <x:c r="J32" s="2"/>
      <x:c r="K32" s="2"/>
      <x:c r="L32" s="2"/>
      <x:c r="M32" s="2"/>
    </x:row>
    <x:row r="33" ht="25" customHeight="1">
      <x:c r="A33" s="2" t="str">
        <x:v>管理费用</x:v>
      </x:c>
      <x:c r="B33" s="20" t="n">
        <x:v>10066.67</x:v>
      </x:c>
      <x:c r="C33" s="20"/>
      <x:c r="D33" s="2" t="str">
        <x:v>GL-02 同范围选样</x:v>
      </x:c>
      <x:c r="E33" s="2"/>
      <x:c r="F33" s="2"/>
      <x:c r="G33" s="2"/>
      <x:c r="H33" s="2"/>
      <x:c r="I33" s="2"/>
      <x:c r="J33" s="2"/>
      <x:c r="K33" s="2"/>
      <x:c r="L33" s="2"/>
      <x:c r="M33" s="2"/>
    </x:row>
    <x:row r="34" ht="25" customHeight="1">
      <x:c r="A34" s="2" t="str">
        <x:v>研发费用</x:v>
      </x:c>
      <x:c r="B34" s="20" t="n">
        <x:v>3055.58</x:v>
      </x:c>
      <x:c r="C34" s="20"/>
      <x:c r="D34" s="2" t="str">
        <x:v>GL-03 同范围选样</x:v>
      </x:c>
      <x:c r="E34" s="2"/>
      <x:c r="F34" s="2"/>
      <x:c r="G34" s="2"/>
      <x:c r="H34" s="2"/>
      <x:c r="I34" s="2"/>
      <x:c r="J34" s="2"/>
      <x:c r="K34" s="2"/>
      <x:c r="L34" s="2"/>
      <x:c r="M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</x:row>
    <x:row r="36" ht="25" customHeight="1">
      <x:c r="A36" s="2" t="str">
        <x:v>这三项控制数为独立录入的教学金额，不从重算结果倒推。未取得全量台账与总账，不能声称全量勾稽完成。</x:v>
      </x:c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</x:sheetData>
  <x:conditionalFormatting sqref="A8:A26">
    <x:cfRule type="expression" dxfId="1" priority="1">
      <x:formula>COUNTIFS($A$8:$A$26,A8)&gt;1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dcc403ee2fc43f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4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3" hidden="0" customWidth="1"/>
    <x:col min="10" max="10" width="13" hidden="0" customWidth="1"/>
    <x:col min="11" max="11" width="13" hidden="0" customWidth="1"/>
    <x:col min="12" max="12" width="6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DATEDIF 月数与边界测试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2" t="str">
        <x:v>先将起止计提月份统一成月初，再计算完整月份差并包含当月；结束早于开始时返回0。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40" customHeight="1">
      <x:c r="A7" s="12" t="str">
        <x:v>手算情形</x:v>
      </x:c>
      <x:c r="B7" s="13" t="str">
        <x:v>可用状态日</x:v>
      </x:c>
      <x:c r="C7" s="13" t="str">
        <x:v>处置日（可空）</x:v>
      </x:c>
      <x:c r="D7" s="13" t="str">
        <x:v>寿命（月）</x:v>
      </x:c>
      <x:c r="E7" s="13" t="str">
        <x:v>本期起日</x:v>
      </x:c>
      <x:c r="F7" s="13" t="str">
        <x:v>本期止日</x:v>
      </x:c>
      <x:c r="G7" s="13" t="str">
        <x:v>首次计提月</x:v>
      </x:c>
      <x:c r="H7" s="13" t="str">
        <x:v>本期止月</x:v>
      </x:c>
      <x:c r="I7" s="13" t="str">
        <x:v>自动月数</x:v>
      </x:c>
      <x:c r="J7" s="13" t="str">
        <x:v>手算月数</x:v>
      </x:c>
      <x:c r="K7" s="13" t="str">
        <x:v>自动－手算</x:v>
      </x:c>
      <x:c r="L7" s="14" t="str">
        <x:v>为什么这样算</x:v>
      </x:c>
    </x:row>
    <x:row r="8" ht="25" customHeight="1">
      <x:c r="A8" s="2" t="str">
        <x:v>六月中启用</x:v>
      </x:c>
      <x:c r="B8" s="6" t="d">
        <x:v>2024-06-15T00:00:00.000Z</x:v>
      </x:c>
      <x:c r="C8" s="6"/>
      <x:c r="D8" s="5" t="n">
        <x:v>60</x:v>
      </x:c>
      <x:c r="E8" s="6" t="d">
        <x:v>2024-01-01T00:00:00.000Z</x:v>
      </x:c>
      <x:c r="F8" s="6" t="d">
        <x:v>2024-12-31T00:00:00.000Z</x:v>
      </x:c>
      <x:c r="G8" s="41" t="n">
        <x:f>DATE(YEAR(B8),MONTH(B8)+1,1)</x:f>
        <x:v>45474</x:v>
      </x:c>
      <x:c r="H8" s="41" t="n">
        <x:f>MIN(EDATE(G8,D8-1),DATE(YEAR(F8),MONTH(F8),1),IF(C8="",DATE(YEAR(F8),MONTH(F8),1),DATE(YEAR(C8),MONTH(C8),1)))</x:f>
        <x:v>45627</x:v>
      </x:c>
      <x:c r="I8" s="2" t="n">
        <x:f>IF(H8&lt;MAX(G8,E8),0,DATEDIF(MAX(G8,E8),H8,"m")+1)</x:f>
        <x:v>6</x:v>
      </x:c>
      <x:c r="J8" s="5" t="n">
        <x:v>6</x:v>
      </x:c>
      <x:c r="K8" s="2" t="n">
        <x:f>I8-J8</x:f>
        <x:v>0</x:v>
      </x:c>
      <x:c r="L8" s="2" t="str">
        <x:v>七月到十二月，共6个月</x:v>
      </x:c>
    </x:row>
    <x:row r="9" ht="25" customHeight="1">
      <x:c r="A9" s="2" t="str">
        <x:v>一月最后一天启用</x:v>
      </x:c>
      <x:c r="B9" s="6" t="d">
        <x:v>2024-01-31T00:00:00.000Z</x:v>
      </x:c>
      <x:c r="C9" s="6"/>
      <x:c r="D9" s="5" t="n">
        <x:v>36</x:v>
      </x:c>
      <x:c r="E9" s="6" t="d">
        <x:v>2024-01-01T00:00:00.000Z</x:v>
      </x:c>
      <x:c r="F9" s="6" t="d">
        <x:v>2024-12-31T00:00:00.000Z</x:v>
      </x:c>
      <x:c r="G9" s="41" t="n">
        <x:f>DATE(YEAR(B9),MONTH(B9)+1,1)</x:f>
        <x:v>45323</x:v>
      </x:c>
      <x:c r="H9" s="41" t="n">
        <x:f>MIN(EDATE(G9,D9-1),DATE(YEAR(F9),MONTH(F9),1),IF(C9="",DATE(YEAR(F9),MONTH(F9),1),DATE(YEAR(C9),MONTH(C9),1)))</x:f>
        <x:v>45627</x:v>
      </x:c>
      <x:c r="I9" s="2" t="n">
        <x:f>IF(H9&lt;MAX(G9,E9),0,DATEDIF(MAX(G9,E9),H9,"m")+1)</x:f>
        <x:v>11</x:v>
      </x:c>
      <x:c r="J9" s="5" t="n">
        <x:v>11</x:v>
      </x:c>
      <x:c r="K9" s="2" t="n">
        <x:f>I9-J9</x:f>
        <x:v>0</x:v>
      </x:c>
      <x:c r="L9" s="2" t="str">
        <x:v>二月开始，共11个月</x:v>
      </x:c>
    </x:row>
    <x:row r="10" ht="25" customHeight="1">
      <x:c r="A10" s="2" t="str">
        <x:v>十二月最后一天启用</x:v>
      </x:c>
      <x:c r="B10" s="6" t="d">
        <x:v>2024-12-31T00:00:00.000Z</x:v>
      </x:c>
      <x:c r="C10" s="6"/>
      <x:c r="D10" s="5" t="n">
        <x:v>60</x:v>
      </x:c>
      <x:c r="E10" s="6" t="d">
        <x:v>2024-01-01T00:00:00.000Z</x:v>
      </x:c>
      <x:c r="F10" s="6" t="d">
        <x:v>2024-12-31T00:00:00.000Z</x:v>
      </x:c>
      <x:c r="G10" s="41" t="n">
        <x:f>DATE(YEAR(B10),MONTH(B10)+1,1)</x:f>
        <x:v>45658</x:v>
      </x:c>
      <x:c r="H10" s="41" t="n">
        <x:f>MIN(EDATE(G10,D10-1),DATE(YEAR(F10),MONTH(F10),1),IF(C10="",DATE(YEAR(F10),MONTH(F10),1),DATE(YEAR(C10),MONTH(C10),1)))</x:f>
        <x:v>45627</x:v>
      </x:c>
      <x:c r="I10" s="2" t="n">
        <x:f>IF(H10&lt;MAX(G10,E10),0,DATEDIF(MAX(G10,E10),H10,"m")+1)</x:f>
        <x:v>0</x:v>
      </x:c>
      <x:c r="J10" s="5" t="n">
        <x:v>0</x:v>
      </x:c>
      <x:c r="K10" s="2" t="n">
        <x:f>I10-J10</x:f>
        <x:v>0</x:v>
      </x:c>
      <x:c r="L10" s="2" t="str">
        <x:v>次年一月开始，本年0个月</x:v>
      </x:c>
    </x:row>
    <x:row r="11" ht="25" customHeight="1">
      <x:c r="A11" s="2" t="str">
        <x:v>五月中处置</x:v>
      </x:c>
      <x:c r="B11" s="6" t="d">
        <x:v>2022-08-01T00:00:00.000Z</x:v>
      </x:c>
      <x:c r="C11" s="6" t="d">
        <x:v>2024-05-17T00:00:00.000Z</x:v>
      </x:c>
      <x:c r="D11" s="5" t="n">
        <x:v>60</x:v>
      </x:c>
      <x:c r="E11" s="6" t="d">
        <x:v>2024-01-01T00:00:00.000Z</x:v>
      </x:c>
      <x:c r="F11" s="6" t="d">
        <x:v>2024-12-31T00:00:00.000Z</x:v>
      </x:c>
      <x:c r="G11" s="41" t="n">
        <x:f>DATE(YEAR(B11),MONTH(B11)+1,1)</x:f>
        <x:v>44805</x:v>
      </x:c>
      <x:c r="H11" s="41" t="n">
        <x:f>MIN(EDATE(G11,D11-1),DATE(YEAR(F11),MONTH(F11),1),IF(C11="",DATE(YEAR(F11),MONTH(F11),1),DATE(YEAR(C11),MONTH(C11),1)))</x:f>
        <x:v>45413</x:v>
      </x:c>
      <x:c r="I11" s="2" t="n">
        <x:f>IF(H11&lt;MAX(G11,E11),0,DATEDIF(MAX(G11,E11),H11,"m")+1)</x:f>
        <x:v>5</x:v>
      </x:c>
      <x:c r="J11" s="5" t="n">
        <x:v>5</x:v>
      </x:c>
      <x:c r="K11" s="2" t="n">
        <x:f>I11-J11</x:f>
        <x:v>0</x:v>
      </x:c>
      <x:c r="L11" s="2" t="str">
        <x:v>当月减少仍提，计一月至五月</x:v>
      </x:c>
    </x:row>
    <x:row r="12" ht="25" customHeight="1">
      <x:c r="A12" s="2" t="str">
        <x:v>寿命早已结束</x:v>
      </x:c>
      <x:c r="B12" s="6" t="d">
        <x:v>2018-11-30T00:00:00.000Z</x:v>
      </x:c>
      <x:c r="C12" s="6"/>
      <x:c r="D12" s="5" t="n">
        <x:v>60</x:v>
      </x:c>
      <x:c r="E12" s="6" t="d">
        <x:v>2024-01-01T00:00:00.000Z</x:v>
      </x:c>
      <x:c r="F12" s="6" t="d">
        <x:v>2024-12-31T00:00:00.000Z</x:v>
      </x:c>
      <x:c r="G12" s="41" t="n">
        <x:f>DATE(YEAR(B12),MONTH(B12)+1,1)</x:f>
        <x:v>43435</x:v>
      </x:c>
      <x:c r="H12" s="41" t="n">
        <x:f>MIN(EDATE(G12,D12-1),DATE(YEAR(F12),MONTH(F12),1),IF(C12="",DATE(YEAR(F12),MONTH(F12),1),DATE(YEAR(C12),MONTH(C12),1)))</x:f>
        <x:v>45231</x:v>
      </x:c>
      <x:c r="I12" s="2" t="n">
        <x:f>IF(H12&lt;MAX(G12,E12),0,DATEDIF(MAX(G12,E12),H12,"m")+1)</x:f>
        <x:v>0</x:v>
      </x:c>
      <x:c r="J12" s="5" t="n">
        <x:v>0</x:v>
      </x:c>
      <x:c r="K12" s="2" t="n">
        <x:f>I12-J12</x:f>
        <x:v>0</x:v>
      </x:c>
      <x:c r="L12" s="2" t="str">
        <x:v>寿命结束月份早于本年起点</x:v>
      </x:c>
    </x:row>
    <x:row r="13" ht="25" customHeight="1">
      <x:c r="A13" s="2" t="str">
        <x:v>十月寿命到期</x:v>
      </x:c>
      <x:c r="B13" s="6" t="d">
        <x:v>2022-10-12T00:00:00.000Z</x:v>
      </x:c>
      <x:c r="C13" s="6"/>
      <x:c r="D13" s="5" t="n">
        <x:v>24</x:v>
      </x:c>
      <x:c r="E13" s="6" t="d">
        <x:v>2024-01-01T00:00:00.000Z</x:v>
      </x:c>
      <x:c r="F13" s="6" t="d">
        <x:v>2024-12-31T00:00:00.000Z</x:v>
      </x:c>
      <x:c r="G13" s="41" t="n">
        <x:f>DATE(YEAR(B13),MONTH(B13)+1,1)</x:f>
        <x:v>44866</x:v>
      </x:c>
      <x:c r="H13" s="41" t="n">
        <x:f>MIN(EDATE(G13,D13-1),DATE(YEAR(F13),MONTH(F13),1),IF(C13="",DATE(YEAR(F13),MONTH(F13),1),DATE(YEAR(C13),MONTH(C13),1)))</x:f>
        <x:v>45566</x:v>
      </x:c>
      <x:c r="I13" s="2" t="n">
        <x:f>IF(H13&lt;MAX(G13,E13),0,DATEDIF(MAX(G13,E13),H13,"m")+1)</x:f>
        <x:v>10</x:v>
      </x:c>
      <x:c r="J13" s="5" t="n">
        <x:v>10</x:v>
      </x:c>
      <x:c r="K13" s="2" t="n">
        <x:f>I13-J13</x:f>
        <x:v>0</x:v>
      </x:c>
      <x:c r="L13" s="2" t="str">
        <x:v>最后计提2024年十月，本年10个月</x:v>
      </x:c>
    </x:row>
    <x:row r="14" ht="25" customHeight="1">
      <x:c r="A14" s="2" t="str">
        <x:v>闰年二月末启用</x:v>
      </x:c>
      <x:c r="B14" s="6" t="d">
        <x:v>2024-02-29T00:00:00.000Z</x:v>
      </x:c>
      <x:c r="C14" s="6"/>
      <x:c r="D14" s="5" t="n">
        <x:v>60</x:v>
      </x:c>
      <x:c r="E14" s="6" t="d">
        <x:v>2024-01-01T00:00:00.000Z</x:v>
      </x:c>
      <x:c r="F14" s="6" t="d">
        <x:v>2024-12-31T00:00:00.000Z</x:v>
      </x:c>
      <x:c r="G14" s="41" t="n">
        <x:f>DATE(YEAR(B14),MONTH(B14)+1,1)</x:f>
        <x:v>45352</x:v>
      </x:c>
      <x:c r="H14" s="41" t="n">
        <x:f>MIN(EDATE(G14,D14-1),DATE(YEAR(F14),MONTH(F14),1),IF(C14="",DATE(YEAR(F14),MONTH(F14),1),DATE(YEAR(C14),MONTH(C14),1)))</x:f>
        <x:v>45627</x:v>
      </x:c>
      <x:c r="I14" s="2" t="n">
        <x:f>IF(H14&lt;MAX(G14,E14),0,DATEDIF(MAX(G14,E14),H14,"m")+1)</x:f>
        <x:v>10</x:v>
      </x:c>
      <x:c r="J14" s="5" t="n">
        <x:v>10</x:v>
      </x:c>
      <x:c r="K14" s="2" t="n">
        <x:f>I14-J14</x:f>
        <x:v>0</x:v>
      </x:c>
      <x:c r="L14" s="2" t="str">
        <x:v>三月开始，到十二月10个月</x:v>
      </x:c>
    </x:row>
    <x:row r="15" ht="25" customHeight="1">
      <x:c r="A15" s="2" t="str">
        <x:v>上年已处置</x:v>
      </x:c>
      <x:c r="B15" s="6" t="d">
        <x:v>2020-11-30T00:00:00.000Z</x:v>
      </x:c>
      <x:c r="C15" s="6" t="d">
        <x:v>2023-11-08T00:00:00.000Z</x:v>
      </x:c>
      <x:c r="D15" s="5" t="n">
        <x:v>36</x:v>
      </x:c>
      <x:c r="E15" s="6" t="d">
        <x:v>2024-01-01T00:00:00.000Z</x:v>
      </x:c>
      <x:c r="F15" s="6" t="d">
        <x:v>2024-12-31T00:00:00.000Z</x:v>
      </x:c>
      <x:c r="G15" s="41" t="n">
        <x:f>DATE(YEAR(B15),MONTH(B15)+1,1)</x:f>
        <x:v>44166</x:v>
      </x:c>
      <x:c r="H15" s="41" t="n">
        <x:f>MIN(EDATE(G15,D15-1),DATE(YEAR(F15),MONTH(F15),1),IF(C15="",DATE(YEAR(F15),MONTH(F15),1),DATE(YEAR(C15),MONTH(C15),1)))</x:f>
        <x:v>45231</x:v>
      </x:c>
      <x:c r="I15" s="2" t="n">
        <x:f>IF(H15&lt;MAX(G15,E15),0,DATEDIF(MAX(G15,E15),H15,"m")+1)</x:f>
        <x:v>0</x:v>
      </x:c>
      <x:c r="J15" s="5" t="n">
        <x:v>0</x:v>
      </x:c>
      <x:c r="K15" s="2" t="n">
        <x:f>I15-J15</x:f>
        <x:v>0</x:v>
      </x:c>
      <x:c r="L15" s="2" t="str">
        <x:v>本期无计提月份</x:v>
      </x:c>
    </x:row>
    <x:row r="16" ht="25" customHeight="1">
      <x:c r="A16" s="2" t="str">
        <x:v>十一月末启用</x:v>
      </x:c>
      <x:c r="B16" s="6" t="d">
        <x:v>2024-11-30T00:00:00.000Z</x:v>
      </x:c>
      <x:c r="C16" s="6"/>
      <x:c r="D16" s="5" t="n">
        <x:v>60</x:v>
      </x:c>
      <x:c r="E16" s="6" t="d">
        <x:v>2024-01-01T00:00:00.000Z</x:v>
      </x:c>
      <x:c r="F16" s="6" t="d">
        <x:v>2024-12-31T00:00:00.000Z</x:v>
      </x:c>
      <x:c r="G16" s="41" t="n">
        <x:f>DATE(YEAR(B16),MONTH(B16)+1,1)</x:f>
        <x:v>45627</x:v>
      </x:c>
      <x:c r="H16" s="41" t="n">
        <x:f>MIN(EDATE(G16,D16-1),DATE(YEAR(F16),MONTH(F16),1),IF(C16="",DATE(YEAR(F16),MONTH(F16),1),DATE(YEAR(C16),MONTH(C16),1)))</x:f>
        <x:v>45627</x:v>
      </x:c>
      <x:c r="I16" s="2" t="n">
        <x:f>IF(H16&lt;MAX(G16,E16),0,DATEDIF(MAX(G16,E16),H16,"m")+1)</x:f>
        <x:v>1</x:v>
      </x:c>
      <x:c r="J16" s="5" t="n">
        <x:v>1</x:v>
      </x:c>
      <x:c r="K16" s="2" t="n">
        <x:f>I16-J16</x:f>
        <x:v>0</x:v>
      </x:c>
      <x:c r="L16" s="2" t="str">
        <x:v>十二月计提1个月</x:v>
      </x:c>
    </x:row>
    <x:row r="17" ht="25" customHeight="1">
      <x:c r="A17" s="2" t="str">
        <x:v>未来才可使用</x:v>
      </x:c>
      <x:c r="B17" s="6" t="d">
        <x:v>2025-01-15T00:00:00.000Z</x:v>
      </x:c>
      <x:c r="C17" s="6"/>
      <x:c r="D17" s="5" t="n">
        <x:v>60</x:v>
      </x:c>
      <x:c r="E17" s="6" t="d">
        <x:v>2024-01-01T00:00:00.000Z</x:v>
      </x:c>
      <x:c r="F17" s="6" t="d">
        <x:v>2024-12-31T00:00:00.000Z</x:v>
      </x:c>
      <x:c r="G17" s="41" t="n">
        <x:f>DATE(YEAR(B17),MONTH(B17)+1,1)</x:f>
        <x:v>45689</x:v>
      </x:c>
      <x:c r="H17" s="41" t="n">
        <x:f>MIN(EDATE(G17,D17-1),DATE(YEAR(F17),MONTH(F17),1),IF(C17="",DATE(YEAR(F17),MONTH(F17),1),DATE(YEAR(C17),MONTH(C17),1)))</x:f>
        <x:v>45627</x:v>
      </x:c>
      <x:c r="I17" s="2" t="n">
        <x:f>IF(H17&lt;MAX(G17,E17),0,DATEDIF(MAX(G17,E17),H17,"m")+1)</x:f>
        <x:v>0</x:v>
      </x:c>
      <x:c r="J17" s="5" t="n">
        <x:v>0</x:v>
      </x:c>
      <x:c r="K17" s="2" t="n">
        <x:f>I17-J17</x:f>
        <x:v>0</x:v>
      </x:c>
      <x:c r="L17" s="2" t="str">
        <x:v>尚未开始，本年0个月</x:v>
      </x:c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5" customHeight="1">
      <x:c r="A20" s="18" t="str">
        <x:v>梁老师让你返工的地方：差一个月是怎么算出来的</x:v>
      </x:c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5" customHeight="1">
      <x:c r="A22" s="2" t="str">
        <x:v>原始起日</x:v>
      </x:c>
      <x:c r="B22" s="43" t="d">
        <x:v>2024-07-15T00:00:00.000Z</x:v>
      </x:c>
      <x:c r="C22" s="2" t="str">
        <x:v>原始止日</x:v>
      </x:c>
      <x:c r="D22" s="43" t="d">
        <x:v>2024-12-31T00:00:00.000Z</x:v>
      </x:c>
      <x:c r="E22" s="2" t="str">
        <x:v>原始完整月份差</x:v>
      </x:c>
      <x:c r="F22" s="2" t="n">
        <x:f>DATEDIF(B22,D22,"m")</x:f>
        <x:v>5</x:v>
      </x:c>
      <x:c r="G22" s="2"/>
      <x:c r="H22" s="2"/>
      <x:c r="I22" s="2"/>
      <x:c r="J22" s="2"/>
      <x:c r="K22" s="2"/>
      <x:c r="L22" s="2"/>
    </x:row>
    <x:row r="23" ht="25" customHeight="1">
      <x:c r="A23" s="2" t="str">
        <x:v>对齐后起月</x:v>
      </x:c>
      <x:c r="B23" s="43" t="n">
        <x:f>DATE(YEAR(B22),MONTH(B22),1)</x:f>
        <x:v>45474</x:v>
      </x:c>
      <x:c r="C23" s="2" t="str">
        <x:v>对齐后止月</x:v>
      </x:c>
      <x:c r="D23" s="43" t="n">
        <x:f>DATE(YEAR(D22),MONTH(D22),1)</x:f>
        <x:v>45627</x:v>
      </x:c>
      <x:c r="E23" s="2" t="str">
        <x:v>对齐后的月份差</x:v>
      </x:c>
      <x:c r="F23" s="2" t="n">
        <x:f>DATEDIF(B23,D23,"m")</x:f>
        <x:v>5</x:v>
      </x:c>
      <x:c r="G23" s="2"/>
      <x:c r="H23" s="2"/>
      <x:c r="I23" s="2"/>
      <x:c r="J23" s="2"/>
      <x:c r="K23" s="2"/>
      <x:c r="L23" s="2"/>
    </x:row>
    <x:row r="24" ht="25" customHeight="1">
      <x:c r="A24" s="2"/>
      <x:c r="B24" s="2"/>
      <x:c r="C24" s="2"/>
      <x:c r="D24" s="2"/>
      <x:c r="E24" s="2" t="str">
        <x:v>包含起止当月</x:v>
      </x:c>
      <x:c r="F24" s="2" t="n">
        <x:f>F23+1</x:f>
        <x:v>6</x:v>
      </x:c>
      <x:c r="G24" s="2"/>
      <x:c r="H24" s="2"/>
      <x:c r="I24" s="2"/>
      <x:c r="J24" s="2"/>
      <x:c r="K24" s="2"/>
      <x:c r="L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5" customHeight="1">
      <x:c r="A26" s="2" t="str">
        <x:v>两个“5”含义不同：原始日期只满5个月；月初至月初间隔也是5，但七月到十二月包含6个计提月份。</x:v>
      </x:c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5" customHeight="1">
      <x:c r="A27" s="2" t="str">
        <x:v>不要对所有原始日期都盲目加1；应先确定首次计提月份、月初对齐，再处理寿命与处置。</x:v>
      </x:c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5" customHeight="1">
      <x:c r="A29" s="2" t="str">
        <x:v>=DATEDIF(B23,D23,"m")+1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5" customHeight="1">
      <x:c r="A30" s="2" t="str">
        <x:v>m是完整月数；只用m，不使用存在已知问题的MD参数。起日大于止日时，先用IF返回0。</x:v>
      </x:c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5" customHeight="1">
      <x:c r="A33" s="18" t="str">
        <x:v>累计上限与历史：直接观察主表，不用测试结果驱动主表</x:v>
      </x:c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</x:row>
    <x:row r="34" ht="40" customHeight="1">
      <x:c r="A34" s="12" t="str">
        <x:v>资产编号</x:v>
      </x:c>
      <x:c r="B34" s="13" t="str">
        <x:v>观察项目</x:v>
      </x:c>
      <x:c r="C34" s="13" t="str">
        <x:v>主表计算值</x:v>
      </x:c>
      <x:c r="D34" s="13" t="str">
        <x:v>手工预期</x:v>
      </x:c>
      <x:c r="E34" s="13" t="str">
        <x:v>差额</x:v>
      </x:c>
      <x:c r="F34" s="14" t="str">
        <x:v>说明</x:v>
      </x:c>
      <x:c r="G34" s="2"/>
      <x:c r="H34" s="2"/>
      <x:c r="I34" s="2"/>
      <x:c r="J34" s="2"/>
      <x:c r="K34" s="2"/>
      <x:c r="L34" s="2"/>
    </x:row>
    <x:row r="35" ht="25" customHeight="1">
      <x:c r="A35" s="2" t="str">
        <x:v>0004</x:v>
      </x:c>
      <x:c r="B35" s="2" t="str">
        <x:v>已提足仍在用</x:v>
      </x:c>
      <x:c r="C35" s="38" t="n">
        <x:f>固定资产重算!Y11</x:f>
        <x:v>0</x:v>
      </x:c>
      <x:c r="D35" s="38" t="n">
        <x:v>0</x:v>
      </x:c>
      <x:c r="E35" s="38" t="n">
        <x:f>C35-D35</x:f>
        <x:v>0</x:v>
      </x:c>
      <x:c r="F35" s="2" t="str">
        <x:v>本期折旧应为零</x:v>
      </x:c>
      <x:c r="G35" s="2"/>
      <x:c r="H35" s="2"/>
      <x:c r="I35" s="2"/>
      <x:c r="J35" s="2"/>
      <x:c r="K35" s="2"/>
      <x:c r="L35" s="2"/>
    </x:row>
    <x:row r="36" ht="25" customHeight="1">
      <x:c r="A36" s="2" t="str">
        <x:v>0009</x:v>
      </x:c>
      <x:c r="B36" s="2" t="str">
        <x:v>剩余金额上限</x:v>
      </x:c>
      <x:c r="C36" s="38" t="n">
        <x:f>固定资产重算!Y16</x:f>
        <x:v>3333.28</x:v>
      </x:c>
      <x:c r="D36" s="38" t="n">
        <x:v>3333.28</x:v>
      </x:c>
      <x:c r="E36" s="38" t="n">
        <x:f>C36-D36</x:f>
        <x:v>0</x:v>
      </x:c>
      <x:c r="F36" s="2" t="str">
        <x:v>不是机械计12个月的3333.33</x:v>
      </x:c>
      <x:c r="G36" s="2"/>
      <x:c r="H36" s="2"/>
      <x:c r="I36" s="2"/>
      <x:c r="J36" s="2"/>
      <x:c r="K36" s="2"/>
      <x:c r="L36" s="2"/>
    </x:row>
    <x:row r="37" ht="25" customHeight="1">
      <x:c r="A37" s="2" t="str">
        <x:v>0010</x:v>
      </x:c>
      <x:c r="B37" s="2" t="str">
        <x:v>历史少计差额</x:v>
      </x:c>
      <x:c r="C37" s="38" t="n">
        <x:f>固定资产重算!S17</x:f>
        <x:v>-1550</x:v>
      </x:c>
      <x:c r="D37" s="38" t="n">
        <x:v>-1550</x:v>
      </x:c>
      <x:c r="E37" s="38" t="n">
        <x:f>C37-D37</x:f>
        <x:v>0</x:v>
      </x:c>
      <x:c r="F37" s="2" t="str">
        <x:v>提示历史，不把1550强加本期</x:v>
      </x:c>
      <x:c r="G37" s="2"/>
      <x:c r="H37" s="2"/>
      <x:c r="I37" s="2"/>
      <x:c r="J37" s="2"/>
      <x:c r="K37" s="2"/>
      <x:c r="L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5" customHeight="1">
      <x:c r="A40" s="2" t="str">
        <x:v>XLOOKUP 重复编号演示（故意不先拦截，只用于看见风险）</x:v>
      </x:c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5" customHeight="1">
      <x:c r="A41" s="2" t="str">
        <x:v>查找0012返回首个寿命</x:v>
      </x:c>
      <x:c r="B41" s="2"/>
      <x:c r="C41" s="2" t="n">
        <x:f>_xlfn.XLOOKUP("0012",政策与口径!$A$16:$A$33,政策与口径!$C$16:$C$33,"待核",0)</x:f>
        <x:v>5</x:v>
      </x:c>
      <x:c r="D41" s="2" t="str">
        <x:v>但政策表另有8年，因此主表整行待核。</x:v>
      </x:c>
      <x:c r="E41" s="2"/>
      <x:c r="F41" s="2"/>
      <x:c r="G41" s="2"/>
      <x:c r="H41" s="2"/>
      <x:c r="I41" s="2"/>
      <x:c r="J41" s="2"/>
      <x:c r="K41" s="2"/>
      <x:c r="L41" s="2"/>
    </x:row>
    <x:row r="42" ht="2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5" customHeight="1">
      <x:c r="A43" s="2" t="str">
        <x:v>=XLOOKUP("0012",政策与口径!A16:A33,政策与口径!C16:C33,"待核",0)</x:v>
      </x:c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</x:sheetData>
  <x:conditionalFormatting sqref="K8:K17">
    <x:cfRule type="expression" dxfId="9" priority="1">
      <x:formula>K8&lt;&gt;0</x:formula>
    </x:cfRule>
  </x:conditionalFormatting>
  <x:conditionalFormatting sqref="E35:E37">
    <x:cfRule type="expression" dxfId="10" priority="2">
      <x:formula>ABS(E35)&gt;'政策与口径'!$B$8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9" hidden="0" customWidth="1"/>
    <x:col min="2" max="2" width="22" hidden="0" customWidth="1"/>
    <x:col min="3" max="3" width="20" hidden="0" customWidth="1"/>
    <x:col min="4" max="4" width="20" hidden="0" customWidth="1"/>
    <x:col min="5" max="5" width="19" hidden="0" customWidth="1"/>
    <x:col min="6" max="6" width="20" hidden="0" customWidth="1"/>
    <x:col min="7" max="7" width="17" hidden="0" customWidth="1"/>
    <x:col min="8" max="8" width="17" hidden="0" customWidth="1"/>
    <x:col min="9" max="9" width="15" hidden="0" customWidth="1"/>
    <x:col min="10" max="10" width="18" hidden="0" customWidth="1"/>
    <x:col min="11" max="11" width="21" hidden="0" customWidth="1"/>
    <x:col min="12" max="12" width="5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无形资产与长期待摊：先核字段，再决定方法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2" t="str">
        <x:v>独立教学示例。只演示已明确起摊点的简单情形，不与固定资产合并使用残值率或次月规则。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40" customHeight="1">
      <x:c r="A7" s="12" t="str">
        <x:v>编号</x:v>
      </x:c>
      <x:c r="B7" s="13" t="str">
        <x:v>类别</x:v>
      </x:c>
      <x:c r="C7" s="13" t="str">
        <x:v>项目</x:v>
      </x:c>
      <x:c r="D7" s="13" t="str">
        <x:v>成本（元）</x:v>
      </x:c>
      <x:c r="E7" s="13" t="str">
        <x:v>残值金额（元）</x:v>
      </x:c>
      <x:c r="F7" s="13" t="str">
        <x:v>可供使用或受益日</x:v>
      </x:c>
      <x:c r="G7" s="13" t="str">
        <x:v>经确认起摊月</x:v>
      </x:c>
      <x:c r="H7" s="13" t="str">
        <x:v>寿命或受益月数</x:v>
      </x:c>
      <x:c r="I7" s="13" t="str">
        <x:v>本年月数</x:v>
      </x:c>
      <x:c r="J7" s="13" t="str">
        <x:v>月摊销额</x:v>
      </x:c>
      <x:c r="K7" s="13" t="str">
        <x:v>预计本年摊销</x:v>
      </x:c>
      <x:c r="L7" s="14" t="str">
        <x:v>需要复核的依据</x:v>
      </x:c>
    </x:row>
    <x:row r="8" ht="58" customHeight="1">
      <x:c r="A8" s="5" t="str">
        <x:v>IA001</x:v>
      </x:c>
      <x:c r="B8" s="5" t="str">
        <x:v>有限寿命无形资产</x:v>
      </x:c>
      <x:c r="C8" s="5" t="str">
        <x:v>软件许可</x:v>
      </x:c>
      <x:c r="D8" s="20" t="n">
        <x:v>36000</x:v>
      </x:c>
      <x:c r="E8" s="20" t="n">
        <x:v>0</x:v>
      </x:c>
      <x:c r="F8" s="6" t="d">
        <x:v>2024-06-15T00:00:00.000Z</x:v>
      </x:c>
      <x:c r="G8" s="6" t="d">
        <x:v>2024-06-01T00:00:00.000Z</x:v>
      </x:c>
      <x:c r="H8" s="5" t="n">
        <x:v>60</x:v>
      </x:c>
      <x:c r="I8" s="2" t="n">
        <x:f>IF(MIN(EDATE(G8,H8-1),DATE(YEAR(政策与口径!$B$6),MONTH(政策与口径!$B$6),1))&lt;MAX(G8,政策与口径!$B$5),0,DATEDIF(MAX(G8,政策与口径!$B$5),MIN(EDATE(G8,H8-1),DATE(YEAR(政策与口径!$B$6),MONTH(政策与口径!$B$6),1)),"m")+1)</x:f>
        <x:v>7</x:v>
      </x:c>
      <x:c r="J8" s="33" t="n">
        <x:f>(D8-E8)/H8</x:f>
        <x:v>600</x:v>
      </x:c>
      <x:c r="K8" s="33" t="n">
        <x:f>ROUND(MIN(D8-E8,I8*J8),2)</x:f>
        <x:v>4200</x:v>
      </x:c>
      <x:c r="L8" s="40" t="str">
        <x:v>假设已确认当月按整月摊销；准则起点为可供使用时，不规定所有业务都必须按整月。</x:v>
      </x:c>
    </x:row>
    <x:row r="9" ht="58" customHeight="1">
      <x:c r="A9" s="5" t="str">
        <x:v>LTA001</x:v>
      </x:c>
      <x:c r="B9" s="5" t="str">
        <x:v>长期待摊费用</x:v>
      </x:c>
      <x:c r="C9" s="5" t="str">
        <x:v>符合确认条件的装修支出</x:v>
      </x:c>
      <x:c r="D9" s="20" t="n">
        <x:v>72000</x:v>
      </x:c>
      <x:c r="E9" s="20" t="n">
        <x:v>0</x:v>
      </x:c>
      <x:c r="F9" s="6" t="d">
        <x:v>2024-05-01T00:00:00.000Z</x:v>
      </x:c>
      <x:c r="G9" s="6" t="d">
        <x:v>2024-05-01T00:00:00.000Z</x:v>
      </x:c>
      <x:c r="H9" s="5" t="n">
        <x:v>24</x:v>
      </x:c>
      <x:c r="I9" s="2" t="n">
        <x:f>IF(MIN(EDATE(G9,H9-1),DATE(YEAR(政策与口径!$B$6),MONTH(政策与口径!$B$6),1))&lt;MAX(G9,政策与口径!$B$5),0,DATEDIF(MAX(G9,政策与口径!$B$5),MIN(EDATE(G9,H9-1),DATE(YEAR(政策与口径!$B$6),MONTH(政策与口径!$B$6),1)),"m")+1)</x:f>
        <x:v>8</x:v>
      </x:c>
      <x:c r="J9" s="33" t="n">
        <x:f>(D9-E9)/H9</x:f>
        <x:v>3000</x:v>
      </x:c>
      <x:c r="K9" s="33" t="n">
        <x:f>ROUND(MIN(D9-E9,I9*J9),2)</x:f>
        <x:v>24000</x:v>
      </x:c>
      <x:c r="L9" s="40" t="str">
        <x:v>装修属性先判断；本例已确认受益期从五月起24个月，不能自动套固定资产次月规则。</x:v>
      </x:c>
    </x:row>
    <x:row r="10" ht="58" customHeight="1">
      <x:c r="A10" s="5" t="str">
        <x:v>IA002</x:v>
      </x:c>
      <x:c r="B10" s="5" t="str">
        <x:v>不确定寿命无形资产</x:v>
      </x:c>
      <x:c r="C10" s="5" t="str">
        <x:v>已满足确认条件的权利</x:v>
      </x:c>
      <x:c r="D10" s="20" t="n">
        <x:v>90000</x:v>
      </x:c>
      <x:c r="E10" s="20"/>
      <x:c r="F10" s="6" t="d">
        <x:v>2024-06-15T00:00:00.000Z</x:v>
      </x:c>
      <x:c r="G10" s="6"/>
      <x:c r="H10" s="5"/>
      <x:c r="I10" s="2" t="str">
        <x:v>不适用</x:v>
      </x:c>
      <x:c r="J10" s="2" t="str">
        <x:v>不适用</x:v>
      </x:c>
      <x:c r="K10" s="2" t="str">
        <x:v>不摊销</x:v>
      </x:c>
      <x:c r="L10" s="40" t="str">
        <x:v>不确定寿命不摊销，需至少每年减值测试并复核寿命判断。</x:v>
      </x:c>
    </x:row>
    <x:row r="11" ht="25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5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5" customHeight="1">
      <x:c r="A13" s="18" t="str">
        <x:v>交付给梁老师的字段清单</x:v>
      </x:c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</x:row>
    <x:row r="14" ht="40" customHeight="1">
      <x:c r="A14" s="12" t="str">
        <x:v>类别</x:v>
      </x:c>
      <x:c r="B14" s="13" t="str">
        <x:v>字段一</x:v>
      </x:c>
      <x:c r="C14" s="13" t="str">
        <x:v>字段二</x:v>
      </x:c>
      <x:c r="D14" s="13" t="str">
        <x:v>字段三</x:v>
      </x:c>
      <x:c r="E14" s="13" t="str">
        <x:v>字段四</x:v>
      </x:c>
      <x:c r="F14" s="14" t="str">
        <x:v>需补证据</x:v>
      </x:c>
      <x:c r="G14" s="2"/>
      <x:c r="H14" s="2"/>
      <x:c r="I14" s="2"/>
      <x:c r="J14" s="2"/>
      <x:c r="K14" s="2"/>
      <x:c r="L14" s="2"/>
    </x:row>
    <x:row r="15" ht="45" customHeight="1">
      <x:c r="A15" s="40" t="str">
        <x:v>固定资产</x:v>
      </x:c>
      <x:c r="B15" s="40" t="str">
        <x:v>原值、残值与减值</x:v>
      </x:c>
      <x:c r="C15" s="40" t="str">
        <x:v>可使用状态日期</x:v>
      </x:c>
      <x:c r="D15" s="40" t="str">
        <x:v>寿命、方法与变更</x:v>
      </x:c>
      <x:c r="E15" s="40" t="str">
        <x:v>处置及历史累计</x:v>
      </x:c>
      <x:c r="F15" s="40" t="str">
        <x:v>验收、台账、政策、处置单</x:v>
      </x:c>
      <x:c r="G15" s="2"/>
      <x:c r="H15" s="2"/>
      <x:c r="I15" s="2"/>
      <x:c r="J15" s="2"/>
      <x:c r="K15" s="2"/>
      <x:c r="L15" s="2"/>
    </x:row>
    <x:row r="16" ht="45" customHeight="1">
      <x:c r="A16" s="40" t="str">
        <x:v>无形资产</x:v>
      </x:c>
      <x:c r="B16" s="40" t="str">
        <x:v>成本与确认条件</x:v>
      </x:c>
      <x:c r="C16" s="40" t="str">
        <x:v>可供使用状态日期</x:v>
      </x:c>
      <x:c r="D16" s="40" t="str">
        <x:v>有限或不确定寿命</x:v>
      </x:c>
      <x:c r="E16" s="40" t="str">
        <x:v>残值例外与减值</x:v>
      </x:c>
      <x:c r="F16" s="40" t="str">
        <x:v>合同、上线记录、寿命论证</x:v>
      </x:c>
      <x:c r="G16" s="2"/>
      <x:c r="H16" s="2"/>
      <x:c r="I16" s="2"/>
      <x:c r="J16" s="2"/>
      <x:c r="K16" s="2"/>
      <x:c r="L16" s="2"/>
    </x:row>
    <x:row r="17" ht="45" customHeight="1">
      <x:c r="A17" s="40" t="str">
        <x:v>长期待摊费用</x:v>
      </x:c>
      <x:c r="B17" s="40" t="str">
        <x:v>支出性质及资本化依据</x:v>
      </x:c>
      <x:c r="C17" s="40" t="str">
        <x:v>实际受益起止日期</x:v>
      </x:c>
      <x:c r="D17" s="40" t="str">
        <x:v>分摊方法与剩余期间</x:v>
      </x:c>
      <x:c r="E17" s="40" t="str">
        <x:v>能否继续带来收益</x:v>
      </x:c>
      <x:c r="F17" s="40" t="str">
        <x:v>合同、验收、场地使用安排</x:v>
      </x:c>
      <x:c r="G17" s="2"/>
      <x:c r="H17" s="2"/>
      <x:c r="I17" s="2"/>
      <x:c r="J17" s="2"/>
      <x:c r="K17" s="2"/>
      <x:c r="L17" s="2"/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5" customHeight="1">
      <x:c r="A20" s="2" t="str">
        <x:v>三类科目都可能“按月分摊”，但这不代表确认条件、起点、残值及减值规则相同。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5" customHeight="1">
      <x:c r="A22" s="2" t="str">
        <x:v>本例软件可供使用在六月，预计7个月×600＝4200；装修五月开始，8个月×3000＝24000。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5" customHeight="1">
      <x:c r="A24" s="2" t="str">
        <x:v>有期初累计摊销、减值或变更时，也需限制剩余金额并重核剩余期限；上方只是当年新增的字段示范。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</x:sheetData>
  <x:pageMargins left="0.7" right="0.7" top="0.75" bottom="0.75" header="0.3" footer="0.3"/>
</x:worksheet>
</file>